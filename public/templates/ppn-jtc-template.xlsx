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ocuments/4. AI Pajak/templates/"/>
    </mc:Choice>
  </mc:AlternateContent>
  <xr:revisionPtr revIDLastSave="0" documentId="8_{3C07EF9F-D06D-5E43-84AC-97CD988F6642}" xr6:coauthVersionLast="47" xr6:coauthVersionMax="47" xr10:uidLastSave="{00000000-0000-0000-0000-000000000000}"/>
  <bookViews>
    <workbookView xWindow="34200" yWindow="1140" windowWidth="29040" windowHeight="15720" xr2:uid="{46634F38-8F67-4174-8D78-3BE474A8B8CE}"/>
  </bookViews>
  <sheets>
    <sheet name="FEB" sheetId="1" r:id="rId1"/>
  </sheets>
  <definedNames>
    <definedName name="_xlnm._FilterDatabase" localSheetId="0" hidden="1">FEB!$A$9:$M$18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1" l="1"/>
  <c r="J10" i="1"/>
  <c r="L29" i="1"/>
  <c r="L18" i="1"/>
  <c r="L34" i="1" s="1"/>
  <c r="L35" i="1" l="1"/>
  <c r="L37" i="1" s="1"/>
  <c r="L38" i="1" s="1"/>
</calcChain>
</file>

<file path=xl/sharedStrings.xml><?xml version="1.0" encoding="utf-8"?>
<sst xmlns="http://schemas.openxmlformats.org/spreadsheetml/2006/main" count="49" uniqueCount="31">
  <si>
    <t>NAME</t>
  </si>
  <si>
    <t>NPWP</t>
  </si>
  <si>
    <t>ADDRESS</t>
  </si>
  <si>
    <t>PERIOD</t>
  </si>
  <si>
    <t>VAT OUT</t>
  </si>
  <si>
    <t>NO</t>
  </si>
  <si>
    <t>INVOICE NO</t>
  </si>
  <si>
    <t>DESC</t>
  </si>
  <si>
    <t>EFAKTUR NO</t>
  </si>
  <si>
    <t>EFAKTUR DATE</t>
  </si>
  <si>
    <t>TAX BASE</t>
  </si>
  <si>
    <t>TAX RATE</t>
  </si>
  <si>
    <t>VAT</t>
  </si>
  <si>
    <t>NOTES</t>
  </si>
  <si>
    <t>TOTAL VAT OUT</t>
  </si>
  <si>
    <t>VAT IN</t>
  </si>
  <si>
    <t>VAT IN</t>
    <phoneticPr fontId="0" type="noConversion"/>
  </si>
  <si>
    <t>CALCULATION:</t>
  </si>
  <si>
    <t>TOTAL VAT IN</t>
  </si>
  <si>
    <t>VAT PAYABLE</t>
  </si>
  <si>
    <t>: ….....................................</t>
  </si>
  <si>
    <t>: PT …................................</t>
  </si>
  <si>
    <t>: FEBRUARY 2021</t>
  </si>
  <si>
    <t>OVERPAID ON JANUARY 2021</t>
  </si>
  <si>
    <t>000000000000</t>
  </si>
  <si>
    <t>pt angin ribut</t>
  </si>
  <si>
    <t>ajl. Suharto</t>
  </si>
  <si>
    <t>k/2025/01</t>
  </si>
  <si>
    <t xml:space="preserve">jualan kulit sinterik 2Meter </t>
  </si>
  <si>
    <t>04000000</t>
  </si>
  <si>
    <t>DPP NILAI 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</si>
</sst>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FF0000"/>
      <name val="Arial"/>
      <family val="2"/>
    </font>
    <font>
      <b/>
      <u val="singleAccounting"/>
      <sz val="11"/>
      <color theme="1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41" fontId="3" fillId="0" borderId="0" xfId="1" applyFont="1" applyBorder="1" applyAlignment="1">
      <alignment vertical="center"/>
    </xf>
    <xf numFmtId="9" fontId="3" fillId="0" borderId="0" xfId="2" applyFont="1" applyBorder="1" applyAlignment="1">
      <alignment vertical="center"/>
    </xf>
    <xf numFmtId="0" fontId="2" fillId="0" borderId="0" xfId="0" quotePrefix="1" applyFont="1" applyAlignment="1">
      <alignment vertical="center"/>
    </xf>
    <xf numFmtId="49" fontId="2" fillId="0" borderId="0" xfId="0" applyNumberFormat="1" applyFont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11" fontId="3" fillId="0" borderId="0" xfId="0" quotePrefix="1" applyNumberFormat="1" applyFont="1" applyAlignment="1">
      <alignment vertical="center"/>
    </xf>
    <xf numFmtId="41" fontId="3" fillId="0" borderId="0" xfId="1" quotePrefix="1" applyFont="1" applyFill="1" applyBorder="1" applyAlignment="1" applyProtection="1">
      <alignment vertical="center"/>
    </xf>
    <xf numFmtId="9" fontId="3" fillId="0" borderId="0" xfId="0" quotePrefix="1" applyNumberFormat="1" applyFont="1" applyAlignment="1">
      <alignment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1" applyFont="1" applyAlignment="1">
      <alignment vertical="center"/>
    </xf>
    <xf numFmtId="9" fontId="3" fillId="0" borderId="0" xfId="2" applyFont="1" applyAlignment="1">
      <alignment vertical="center"/>
    </xf>
    <xf numFmtId="0" fontId="2" fillId="0" borderId="0" xfId="0" applyFont="1" applyAlignment="1">
      <alignment horizontal="center" vertical="center"/>
    </xf>
    <xf numFmtId="41" fontId="2" fillId="0" borderId="0" xfId="1" applyFont="1" applyAlignment="1">
      <alignment vertical="center"/>
    </xf>
    <xf numFmtId="9" fontId="2" fillId="0" borderId="0" xfId="2" applyFont="1" applyAlignment="1">
      <alignment vertical="center"/>
    </xf>
    <xf numFmtId="0" fontId="3" fillId="0" borderId="0" xfId="0" quotePrefix="1" applyFont="1" applyAlignment="1">
      <alignment vertical="center"/>
    </xf>
    <xf numFmtId="41" fontId="3" fillId="0" borderId="0" xfId="0" applyNumberFormat="1" applyFont="1" applyAlignment="1">
      <alignment vertical="center"/>
    </xf>
    <xf numFmtId="41" fontId="7" fillId="3" borderId="1" xfId="1" applyFont="1" applyFill="1" applyBorder="1" applyAlignment="1">
      <alignment vertical="center"/>
    </xf>
    <xf numFmtId="9" fontId="2" fillId="3" borderId="1" xfId="2" applyFont="1" applyFill="1" applyBorder="1" applyAlignment="1">
      <alignment vertical="center"/>
    </xf>
    <xf numFmtId="41" fontId="2" fillId="3" borderId="1" xfId="1" applyFont="1" applyFill="1" applyBorder="1" applyAlignment="1">
      <alignment vertical="center"/>
    </xf>
    <xf numFmtId="41" fontId="2" fillId="3" borderId="1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41" fontId="4" fillId="2" borderId="0" xfId="1" applyFont="1" applyFill="1" applyBorder="1" applyAlignment="1">
      <alignment horizontal="center" vertical="center"/>
    </xf>
    <xf numFmtId="9" fontId="4" fillId="2" borderId="0" xfId="2" applyFont="1" applyFill="1" applyBorder="1" applyAlignment="1">
      <alignment horizontal="center" vertical="center"/>
    </xf>
    <xf numFmtId="41" fontId="4" fillId="2" borderId="0" xfId="1" applyFont="1" applyFill="1" applyAlignment="1">
      <alignment horizontal="center" vertical="center"/>
    </xf>
    <xf numFmtId="9" fontId="4" fillId="2" borderId="0" xfId="2" applyFont="1" applyFill="1" applyAlignment="1">
      <alignment horizontal="center" vertical="center"/>
    </xf>
    <xf numFmtId="14" fontId="3" fillId="0" borderId="0" xfId="0" quotePrefix="1" applyNumberFormat="1" applyFont="1" applyAlignment="1">
      <alignment horizontal="center" vertical="center"/>
    </xf>
    <xf numFmtId="41" fontId="5" fillId="0" borderId="0" xfId="1" applyFont="1" applyFill="1" applyBorder="1" applyAlignment="1">
      <alignment vertical="center"/>
    </xf>
    <xf numFmtId="0" fontId="5" fillId="0" borderId="0" xfId="0" applyFont="1" applyAlignment="1">
      <alignment vertical="center"/>
    </xf>
    <xf numFmtId="11" fontId="6" fillId="0" borderId="0" xfId="0" quotePrefix="1" applyNumberFormat="1" applyFont="1" applyAlignment="1">
      <alignment vertical="center"/>
    </xf>
    <xf numFmtId="14" fontId="6" fillId="0" borderId="0" xfId="0" quotePrefix="1" applyNumberFormat="1" applyFont="1" applyAlignment="1">
      <alignment horizontal="center" vertical="center"/>
    </xf>
    <xf numFmtId="41" fontId="6" fillId="0" borderId="0" xfId="1" quotePrefix="1" applyFont="1" applyFill="1" applyBorder="1" applyAlignment="1" applyProtection="1">
      <alignment vertical="center"/>
    </xf>
    <xf numFmtId="9" fontId="6" fillId="0" borderId="0" xfId="0" quotePrefix="1" applyNumberFormat="1" applyFont="1" applyAlignment="1">
      <alignment vertical="center"/>
    </xf>
    <xf numFmtId="0" fontId="6" fillId="0" borderId="0" xfId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CA03C-83A4-47A3-8FB0-274572010D6B}">
  <dimension ref="A1:P38"/>
  <sheetViews>
    <sheetView tabSelected="1" zoomScale="111" zoomScaleNormal="70" workbookViewId="0">
      <selection activeCell="G31" sqref="G31"/>
    </sheetView>
  </sheetViews>
  <sheetFormatPr baseColWidth="10" defaultColWidth="9" defaultRowHeight="14" x14ac:dyDescent="0.2"/>
  <cols>
    <col min="1" max="1" width="12.1640625" style="3" customWidth="1"/>
    <col min="2" max="2" width="19.33203125" style="3" bestFit="1" customWidth="1"/>
    <col min="3" max="3" width="13.33203125" style="3" bestFit="1" customWidth="1"/>
    <col min="4" max="4" width="17.1640625" style="3" bestFit="1" customWidth="1"/>
    <col min="5" max="5" width="19.5" style="3" bestFit="1" customWidth="1"/>
    <col min="6" max="6" width="33.83203125" style="3" bestFit="1" customWidth="1"/>
    <col min="7" max="7" width="21.1640625" style="3" bestFit="1" customWidth="1"/>
    <col min="8" max="8" width="23.1640625" style="4" customWidth="1"/>
    <col min="9" max="9" width="32.5" style="14" bestFit="1" customWidth="1"/>
    <col min="10" max="10" width="32.5" style="14" customWidth="1"/>
    <col min="11" max="11" width="17.5" style="15" bestFit="1" customWidth="1"/>
    <col min="12" max="12" width="13.5" style="14" bestFit="1" customWidth="1"/>
    <col min="13" max="13" width="15.6640625" style="3" bestFit="1" customWidth="1"/>
    <col min="14" max="14" width="12.83203125" style="3" bestFit="1" customWidth="1"/>
    <col min="15" max="15" width="9" style="3"/>
    <col min="16" max="16" width="14.33203125" style="3" bestFit="1" customWidth="1"/>
    <col min="17" max="16384" width="9" style="3"/>
  </cols>
  <sheetData>
    <row r="1" spans="1:16" x14ac:dyDescent="0.2">
      <c r="A1" s="1" t="s">
        <v>0</v>
      </c>
      <c r="B1" s="2" t="s">
        <v>21</v>
      </c>
      <c r="I1" s="5"/>
      <c r="J1" s="5"/>
      <c r="K1" s="6"/>
      <c r="L1" s="5"/>
    </row>
    <row r="2" spans="1:16" x14ac:dyDescent="0.2">
      <c r="A2" s="1" t="s">
        <v>1</v>
      </c>
      <c r="B2" s="7" t="s">
        <v>20</v>
      </c>
      <c r="I2" s="5"/>
      <c r="J2" s="5"/>
      <c r="K2" s="6"/>
      <c r="L2" s="5"/>
    </row>
    <row r="3" spans="1:16" x14ac:dyDescent="0.2">
      <c r="A3" s="1" t="s">
        <v>2</v>
      </c>
      <c r="B3" s="7" t="s">
        <v>20</v>
      </c>
      <c r="I3" s="5"/>
      <c r="J3" s="5"/>
      <c r="K3" s="6"/>
      <c r="L3" s="5"/>
    </row>
    <row r="4" spans="1:16" x14ac:dyDescent="0.2">
      <c r="A4" s="1" t="s">
        <v>3</v>
      </c>
      <c r="B4" s="8" t="s">
        <v>22</v>
      </c>
      <c r="I4" s="5"/>
      <c r="J4" s="5"/>
      <c r="K4" s="6"/>
      <c r="L4" s="5"/>
    </row>
    <row r="5" spans="1:16" x14ac:dyDescent="0.2">
      <c r="A5" s="1"/>
      <c r="B5" s="8"/>
      <c r="I5" s="5"/>
      <c r="J5" s="5"/>
      <c r="K5" s="6"/>
      <c r="L5" s="5"/>
    </row>
    <row r="6" spans="1:16" x14ac:dyDescent="0.2">
      <c r="A6" s="1"/>
      <c r="B6" s="8"/>
      <c r="I6" s="5"/>
      <c r="J6" s="5"/>
      <c r="K6" s="6"/>
      <c r="L6" s="5"/>
    </row>
    <row r="7" spans="1:16" x14ac:dyDescent="0.2">
      <c r="A7" s="1"/>
      <c r="B7" s="8"/>
      <c r="I7" s="5"/>
      <c r="J7" s="5"/>
      <c r="K7" s="6"/>
      <c r="L7" s="5"/>
    </row>
    <row r="8" spans="1:16" x14ac:dyDescent="0.2">
      <c r="A8" s="39" t="s">
        <v>4</v>
      </c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</row>
    <row r="9" spans="1:16" s="4" customFormat="1" x14ac:dyDescent="0.2">
      <c r="A9" s="9" t="s">
        <v>5</v>
      </c>
      <c r="B9" s="9" t="s">
        <v>1</v>
      </c>
      <c r="C9" s="9" t="s">
        <v>0</v>
      </c>
      <c r="D9" s="9" t="s">
        <v>2</v>
      </c>
      <c r="E9" s="9" t="s">
        <v>6</v>
      </c>
      <c r="F9" s="9" t="s">
        <v>7</v>
      </c>
      <c r="G9" s="9" t="s">
        <v>8</v>
      </c>
      <c r="H9" s="9" t="s">
        <v>9</v>
      </c>
      <c r="I9" s="26" t="s">
        <v>10</v>
      </c>
      <c r="J9" s="26" t="s">
        <v>30</v>
      </c>
      <c r="K9" s="27" t="s">
        <v>11</v>
      </c>
      <c r="L9" s="26" t="s">
        <v>12</v>
      </c>
      <c r="M9" s="26" t="s">
        <v>13</v>
      </c>
    </row>
    <row r="10" spans="1:16" x14ac:dyDescent="0.2">
      <c r="A10" s="38">
        <v>1</v>
      </c>
      <c r="B10" s="10" t="s">
        <v>24</v>
      </c>
      <c r="C10" s="10" t="s">
        <v>25</v>
      </c>
      <c r="D10" s="10" t="s">
        <v>26</v>
      </c>
      <c r="E10" s="10" t="s">
        <v>27</v>
      </c>
      <c r="F10" s="10" t="s">
        <v>28</v>
      </c>
      <c r="G10" s="10" t="s">
        <v>29</v>
      </c>
      <c r="H10" s="30">
        <v>45962</v>
      </c>
      <c r="I10" s="11">
        <v>8000000</v>
      </c>
      <c r="J10" s="11">
        <f>I10*11/12</f>
        <v>7333333.333333333</v>
      </c>
      <c r="K10" s="12">
        <v>0.12</v>
      </c>
      <c r="L10" s="11">
        <f>J10*K10</f>
        <v>879999.99999999988</v>
      </c>
      <c r="M10" s="31"/>
      <c r="N10" s="32"/>
      <c r="O10" s="32"/>
      <c r="P10" s="32"/>
    </row>
    <row r="11" spans="1:16" x14ac:dyDescent="0.2">
      <c r="A11" s="38">
        <v>2</v>
      </c>
      <c r="B11" s="33"/>
      <c r="C11" s="33"/>
      <c r="D11" s="33"/>
      <c r="E11" s="33"/>
      <c r="F11" s="33"/>
      <c r="G11" s="33"/>
      <c r="H11" s="34"/>
      <c r="I11" s="35"/>
      <c r="J11" s="35"/>
      <c r="K11" s="36"/>
      <c r="L11" s="35"/>
      <c r="M11" s="37"/>
      <c r="N11" s="32"/>
      <c r="O11" s="32"/>
      <c r="P11" s="32"/>
    </row>
    <row r="12" spans="1:16" x14ac:dyDescent="0.2">
      <c r="A12" s="38">
        <v>3</v>
      </c>
      <c r="B12" s="33"/>
      <c r="C12" s="33"/>
      <c r="D12" s="33"/>
      <c r="E12" s="33"/>
      <c r="F12" s="33"/>
      <c r="G12" s="33"/>
      <c r="H12" s="34"/>
      <c r="I12" s="35"/>
      <c r="J12" s="35"/>
      <c r="K12" s="36"/>
      <c r="L12" s="35"/>
      <c r="M12" s="37"/>
      <c r="N12" s="32"/>
      <c r="O12" s="32"/>
      <c r="P12" s="32"/>
    </row>
    <row r="13" spans="1:16" x14ac:dyDescent="0.2">
      <c r="A13" s="38">
        <v>4</v>
      </c>
      <c r="B13" s="10"/>
      <c r="H13" s="13"/>
    </row>
    <row r="14" spans="1:16" x14ac:dyDescent="0.2">
      <c r="B14" s="10"/>
      <c r="H14" s="13"/>
    </row>
    <row r="15" spans="1:16" x14ac:dyDescent="0.2">
      <c r="B15" s="10"/>
      <c r="H15" s="13"/>
    </row>
    <row r="16" spans="1:16" x14ac:dyDescent="0.2">
      <c r="B16" s="10"/>
      <c r="H16" s="13"/>
    </row>
    <row r="17" spans="1:13" x14ac:dyDescent="0.2">
      <c r="B17" s="10"/>
      <c r="H17" s="13"/>
    </row>
    <row r="18" spans="1:13" x14ac:dyDescent="0.2">
      <c r="H18" s="16"/>
      <c r="I18" s="17" t="s">
        <v>14</v>
      </c>
      <c r="J18" s="17"/>
      <c r="K18" s="18"/>
      <c r="L18" s="17">
        <f>SUM(L10:L14)</f>
        <v>879999.99999999988</v>
      </c>
    </row>
    <row r="20" spans="1:13" x14ac:dyDescent="0.2">
      <c r="A20" s="39" t="s">
        <v>15</v>
      </c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</row>
    <row r="21" spans="1:13" s="4" customFormat="1" x14ac:dyDescent="0.2">
      <c r="A21" s="9" t="s">
        <v>5</v>
      </c>
      <c r="B21" s="9" t="s">
        <v>1</v>
      </c>
      <c r="C21" s="9" t="s">
        <v>0</v>
      </c>
      <c r="D21" s="9" t="s">
        <v>2</v>
      </c>
      <c r="E21" s="9" t="s">
        <v>6</v>
      </c>
      <c r="F21" s="9" t="s">
        <v>7</v>
      </c>
      <c r="G21" s="9" t="s">
        <v>8</v>
      </c>
      <c r="H21" s="9" t="s">
        <v>9</v>
      </c>
      <c r="I21" s="28" t="s">
        <v>10</v>
      </c>
      <c r="J21" s="28"/>
      <c r="K21" s="29" t="s">
        <v>11</v>
      </c>
      <c r="L21" s="28" t="s">
        <v>12</v>
      </c>
      <c r="M21" s="28" t="s">
        <v>13</v>
      </c>
    </row>
    <row r="22" spans="1:13" x14ac:dyDescent="0.2">
      <c r="A22" s="38">
        <v>1</v>
      </c>
      <c r="C22" s="10"/>
      <c r="G22" s="19"/>
      <c r="H22" s="13"/>
      <c r="I22" s="5"/>
      <c r="J22" s="5"/>
      <c r="K22" s="12"/>
      <c r="L22" s="11"/>
      <c r="M22" s="5"/>
    </row>
    <row r="23" spans="1:13" x14ac:dyDescent="0.2">
      <c r="A23" s="38">
        <v>2</v>
      </c>
      <c r="G23" s="19"/>
      <c r="H23" s="13"/>
      <c r="I23" s="5"/>
      <c r="J23" s="5"/>
      <c r="K23" s="12"/>
      <c r="L23" s="5"/>
      <c r="M23" s="5"/>
    </row>
    <row r="24" spans="1:13" x14ac:dyDescent="0.2">
      <c r="A24" s="38">
        <v>3</v>
      </c>
      <c r="G24" s="19"/>
      <c r="H24" s="13"/>
      <c r="I24" s="5"/>
      <c r="J24" s="5"/>
      <c r="K24" s="12"/>
      <c r="L24" s="5"/>
      <c r="M24" s="5"/>
    </row>
    <row r="25" spans="1:13" x14ac:dyDescent="0.2">
      <c r="A25" s="38">
        <v>4</v>
      </c>
      <c r="G25" s="19"/>
      <c r="H25" s="13"/>
      <c r="I25" s="5"/>
      <c r="J25" s="5"/>
      <c r="K25" s="12"/>
      <c r="L25" s="5"/>
      <c r="M25" s="5"/>
    </row>
    <row r="26" spans="1:13" x14ac:dyDescent="0.2">
      <c r="G26" s="19"/>
      <c r="H26" s="13"/>
      <c r="I26" s="5"/>
      <c r="J26" s="5"/>
      <c r="K26" s="12"/>
      <c r="L26" s="5"/>
      <c r="M26" s="5"/>
    </row>
    <row r="27" spans="1:13" x14ac:dyDescent="0.2">
      <c r="G27" s="19"/>
      <c r="H27" s="13"/>
      <c r="I27" s="5"/>
      <c r="J27" s="5"/>
      <c r="K27" s="12"/>
      <c r="L27" s="5"/>
      <c r="M27" s="5"/>
    </row>
    <row r="28" spans="1:13" x14ac:dyDescent="0.2">
      <c r="G28" s="19"/>
      <c r="H28" s="13"/>
      <c r="I28" s="5"/>
      <c r="J28" s="5"/>
      <c r="K28" s="12"/>
      <c r="L28" s="5"/>
      <c r="M28" s="5"/>
    </row>
    <row r="29" spans="1:13" x14ac:dyDescent="0.2">
      <c r="H29" s="16"/>
      <c r="I29" s="17" t="s">
        <v>16</v>
      </c>
      <c r="J29" s="17"/>
      <c r="K29" s="18"/>
      <c r="L29" s="17">
        <f>SUM(L22:L25)</f>
        <v>0</v>
      </c>
      <c r="M29" s="20"/>
    </row>
    <row r="30" spans="1:13" x14ac:dyDescent="0.2">
      <c r="H30" s="16"/>
      <c r="I30" s="17"/>
      <c r="J30" s="17"/>
      <c r="K30" s="18"/>
      <c r="L30" s="17"/>
      <c r="M30" s="20"/>
    </row>
    <row r="31" spans="1:13" x14ac:dyDescent="0.2">
      <c r="H31" s="16"/>
      <c r="I31" s="17"/>
      <c r="J31" s="17"/>
      <c r="K31" s="18"/>
      <c r="L31" s="17"/>
      <c r="M31" s="20"/>
    </row>
    <row r="32" spans="1:13" x14ac:dyDescent="0.2">
      <c r="H32" s="16"/>
      <c r="I32" s="17"/>
      <c r="J32" s="17"/>
      <c r="K32" s="18"/>
      <c r="L32" s="17"/>
      <c r="M32" s="20"/>
    </row>
    <row r="33" spans="8:13" ht="17" x14ac:dyDescent="0.2">
      <c r="H33" s="16"/>
      <c r="I33" s="21" t="s">
        <v>17</v>
      </c>
      <c r="J33" s="21"/>
      <c r="K33" s="22"/>
      <c r="L33" s="23"/>
      <c r="M33" s="24"/>
    </row>
    <row r="34" spans="8:13" x14ac:dyDescent="0.2">
      <c r="I34" s="23" t="s">
        <v>14</v>
      </c>
      <c r="J34" s="23"/>
      <c r="K34" s="22"/>
      <c r="L34" s="23">
        <f>L18</f>
        <v>879999.99999999988</v>
      </c>
      <c r="M34" s="25"/>
    </row>
    <row r="35" spans="8:13" x14ac:dyDescent="0.2">
      <c r="I35" s="23" t="s">
        <v>15</v>
      </c>
      <c r="J35" s="23"/>
      <c r="K35" s="22"/>
      <c r="L35" s="23">
        <f>L29</f>
        <v>0</v>
      </c>
      <c r="M35" s="25"/>
    </row>
    <row r="36" spans="8:13" x14ac:dyDescent="0.2">
      <c r="I36" s="23" t="s">
        <v>23</v>
      </c>
      <c r="J36" s="23"/>
      <c r="K36" s="22"/>
      <c r="L36" s="23">
        <v>0</v>
      </c>
      <c r="M36" s="25"/>
    </row>
    <row r="37" spans="8:13" x14ac:dyDescent="0.2">
      <c r="I37" s="23" t="s">
        <v>18</v>
      </c>
      <c r="J37" s="23"/>
      <c r="K37" s="22"/>
      <c r="L37" s="23">
        <f>L35-L36</f>
        <v>0</v>
      </c>
      <c r="M37" s="25"/>
    </row>
    <row r="38" spans="8:13" x14ac:dyDescent="0.2">
      <c r="H38" s="16"/>
      <c r="I38" s="23" t="s">
        <v>19</v>
      </c>
      <c r="J38" s="23"/>
      <c r="K38" s="22"/>
      <c r="L38" s="23">
        <f>L34-L37</f>
        <v>879999.99999999988</v>
      </c>
      <c r="M38" s="25"/>
    </row>
  </sheetData>
  <autoFilter ref="A9:M18" xr:uid="{00000000-0009-0000-0000-00000B000000}"/>
  <mergeCells count="2">
    <mergeCell ref="A8:M8"/>
    <mergeCell ref="A20:M2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JTC</dc:creator>
  <cp:lastModifiedBy>Seungryul Lee</cp:lastModifiedBy>
  <dcterms:created xsi:type="dcterms:W3CDTF">2021-03-22T03:39:08Z</dcterms:created>
  <dcterms:modified xsi:type="dcterms:W3CDTF">2026-06-08T04:37:55Z</dcterms:modified>
</cp:coreProperties>
</file>