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ocuments/4. AI Pajak/templates/"/>
    </mc:Choice>
  </mc:AlternateContent>
  <xr:revisionPtr revIDLastSave="0" documentId="8_{EAEAC761-55C8-C84F-BF7C-C798B492566B}" xr6:coauthVersionLast="47" xr6:coauthVersionMax="47" xr10:uidLastSave="{00000000-0000-0000-0000-000000000000}"/>
  <bookViews>
    <workbookView xWindow="0" yWindow="680" windowWidth="34200" windowHeight="21460" xr2:uid="{46634F38-8F67-4174-8D78-3BE474A8B8CE}"/>
  </bookViews>
  <sheets>
    <sheet name="PPN" sheetId="1" r:id="rId1"/>
    <sheet name="Petunjuk (Guideline)" sheetId="2" r:id="rId2"/>
  </sheets>
  <externalReferences>
    <externalReference r:id="rId3"/>
  </externalReferences>
  <definedNames>
    <definedName name="_xlnm._FilterDatabase" localSheetId="0" hidden="1">PPN!$A$2:$M$11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L33" i="1" s="1"/>
  <c r="H33" i="1"/>
  <c r="J32" i="1"/>
  <c r="L32" i="1" s="1"/>
  <c r="H32" i="1"/>
  <c r="J31" i="1"/>
  <c r="L31" i="1" s="1"/>
  <c r="H31" i="1"/>
  <c r="J30" i="1"/>
  <c r="L30" i="1" s="1"/>
  <c r="H30" i="1"/>
  <c r="J29" i="1"/>
  <c r="L29" i="1" s="1"/>
  <c r="H29" i="1"/>
  <c r="J28" i="1"/>
  <c r="L28" i="1" s="1"/>
  <c r="H28" i="1"/>
  <c r="J27" i="1"/>
  <c r="L27" i="1" s="1"/>
  <c r="H27" i="1"/>
  <c r="J26" i="1"/>
  <c r="L26" i="1" s="1"/>
  <c r="J25" i="1"/>
  <c r="L25" i="1" s="1"/>
  <c r="H25" i="1"/>
  <c r="J24" i="1"/>
  <c r="L24" i="1" s="1"/>
  <c r="H24" i="1"/>
  <c r="J23" i="1"/>
  <c r="L23" i="1" s="1"/>
  <c r="H23" i="1"/>
  <c r="J22" i="1"/>
  <c r="L22" i="1" s="1"/>
  <c r="H22" i="1"/>
  <c r="J21" i="1"/>
  <c r="L21" i="1" s="1"/>
  <c r="H21" i="1"/>
  <c r="J20" i="1"/>
  <c r="L20" i="1" s="1"/>
  <c r="H20" i="1"/>
  <c r="J19" i="1"/>
  <c r="L19" i="1" s="1"/>
  <c r="H19" i="1"/>
  <c r="J18" i="1"/>
  <c r="L18" i="1" s="1"/>
  <c r="H18" i="1"/>
  <c r="J17" i="1"/>
  <c r="L17" i="1" s="1"/>
  <c r="H17" i="1"/>
  <c r="J16" i="1"/>
  <c r="L16" i="1" s="1"/>
  <c r="H16" i="1"/>
  <c r="I15" i="1"/>
  <c r="J15" i="1" s="1"/>
  <c r="L15" i="1" s="1"/>
  <c r="H1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J5" i="1"/>
  <c r="L5" i="1" s="1"/>
  <c r="J3" i="1"/>
  <c r="L3" i="1" s="1"/>
  <c r="I4" i="1"/>
  <c r="J4" i="1" s="1"/>
  <c r="L4" i="1" s="1"/>
</calcChain>
</file>

<file path=xl/sharedStrings.xml><?xml version="1.0" encoding="utf-8"?>
<sst xmlns="http://schemas.openxmlformats.org/spreadsheetml/2006/main" count="212" uniqueCount="186">
  <si>
    <t>NAME</t>
  </si>
  <si>
    <t>NPWP</t>
  </si>
  <si>
    <t>ADDRESS</t>
  </si>
  <si>
    <t>VAT OUT</t>
  </si>
  <si>
    <t>NO</t>
  </si>
  <si>
    <t>INVOICE NO</t>
  </si>
  <si>
    <t>DESC</t>
  </si>
  <si>
    <t>EFAKTUR NO</t>
  </si>
  <si>
    <t>EFAKTUR DATE</t>
  </si>
  <si>
    <t>TAX BASE</t>
  </si>
  <si>
    <t>TAX RATE</t>
  </si>
  <si>
    <t>VAT</t>
  </si>
  <si>
    <t>NOTES</t>
  </si>
  <si>
    <t>VAT IN</t>
  </si>
  <si>
    <t>DPP NILAI LAIN</t>
  </si>
  <si>
    <t xml:space="preserve"> </t>
  </si>
  <si>
    <t>description</t>
  </si>
  <si>
    <t>Column</t>
  </si>
  <si>
    <t>Indonesia</t>
  </si>
  <si>
    <t>English</t>
  </si>
  <si>
    <t>한국어</t>
  </si>
  <si>
    <t>中文</t>
  </si>
  <si>
    <t>日本語</t>
  </si>
  <si>
    <t>section_type</t>
  </si>
  <si>
    <t>Pilih VAT OUT untuk penjualan atau VAT IN untuk pembelian.</t>
  </si>
  <si>
    <t>Select VAT OUT for sales or VAT IN for purchases.</t>
  </si>
  <si>
    <t>VAT OUT은 매출, VAT IN은 매입을 의미합니다.</t>
  </si>
  <si>
    <t>VAT OUT 表示销售，VAT IN 表示采购。</t>
  </si>
  <si>
    <t>VAT OUTは売上、VAT INは仕入を意味します。</t>
  </si>
  <si>
    <t>no</t>
  </si>
  <si>
    <t>Nomor urut transaksi.</t>
  </si>
  <si>
    <t>Transaction number.</t>
  </si>
  <si>
    <t>거래 순번입니다.</t>
  </si>
  <si>
    <t>交易序号。</t>
  </si>
  <si>
    <t>取引の通し番号です。</t>
  </si>
  <si>
    <t>npwp</t>
  </si>
  <si>
    <t>NPWP lawan transaksi. Untuk VAT OUT isi NPWP customer, untuk VAT IN isi NPWP supplier.</t>
  </si>
  <si>
    <t>Counterparty NPWP. For VAT OUT, enter customer NPWP. For VAT IN, enter supplier NPWP.</t>
  </si>
  <si>
    <t>거래처 NPWP입니다. VAT OUT은 고객 NPWP, VAT IN은 공급자 NPWP를 입력합니다.</t>
  </si>
  <si>
    <t>交易对方的 NPWP。VAT OUT 填写客户 NPWP，VAT IN 填写供应商 NPWP。</t>
  </si>
  <si>
    <t>取引先のNPWPです。VAT OUTは顧客のNPWP、VAT INは仕入先のNPWPを入力します。</t>
  </si>
  <si>
    <t>name</t>
  </si>
  <si>
    <t>Nama lawan transaksi.</t>
  </si>
  <si>
    <t>Name of the counterparty.</t>
  </si>
  <si>
    <t>거래처 이름입니다.</t>
  </si>
  <si>
    <t>交易对方名称。</t>
  </si>
  <si>
    <t>取引先名です。</t>
  </si>
  <si>
    <t>address</t>
  </si>
  <si>
    <t>Alamat lawan transaksi sesuai invoice atau Faktur Pajak.</t>
  </si>
  <si>
    <t>Counterparty address according to invoice or tax invoice.</t>
  </si>
  <si>
    <t>Invoice 또는 Faktur Pajak에 기재된 거래처 주소입니다.</t>
  </si>
  <si>
    <t>根据发票或税务发票填写交易对方地址。</t>
  </si>
  <si>
    <t>請求書または税務インボイスに記載された取引先住所です。</t>
  </si>
  <si>
    <t>invoice_no</t>
  </si>
  <si>
    <t>Nomor invoice komersial.</t>
  </si>
  <si>
    <t>Commercial invoice number.</t>
  </si>
  <si>
    <t>상업 Invoice 번호입니다.</t>
  </si>
  <si>
    <t>商业发票号码。</t>
  </si>
  <si>
    <t>商業インボイス番号です。</t>
  </si>
  <si>
    <t>Deskripsi singkat barang atau jasa.</t>
  </si>
  <si>
    <t>Brief description of goods or services.</t>
  </si>
  <si>
    <t>거래 물품 또는 서비스의 간단한 설명입니다.</t>
  </si>
  <si>
    <t>商品或服务的简要说明。</t>
  </si>
  <si>
    <t>商品またはサービスの簡単な説明です。</t>
  </si>
  <si>
    <t>efaktur_no</t>
  </si>
  <si>
    <t>Nomor Faktur Pajak dari e-Faktur/Coretax.</t>
  </si>
  <si>
    <t>Tax invoice number from e-Faktur/Coretax.</t>
  </si>
  <si>
    <t>e-Faktur/Coretax의 Faktur Pajak 번호입니다.</t>
  </si>
  <si>
    <t>e-Faktur/Coretax 中的税务发票号码。</t>
  </si>
  <si>
    <t>e-Faktur/Coretaxの税務インボイス番号です。</t>
  </si>
  <si>
    <t>efaktur_date</t>
  </si>
  <si>
    <t>Tanggal Faktur Pajak. Gunakan format YYYY-MM-DD.</t>
  </si>
  <si>
    <t>Tax invoice date. Use YYYY-MM-DD format.</t>
  </si>
  <si>
    <t>Faktur Pajak 발행일입니다. YYYY-MM-DD 형식으로 입력합니다.</t>
  </si>
  <si>
    <t>税务发票日期。请使用 YYYY-MM-DD 格式。</t>
  </si>
  <si>
    <t>税務インボイスの日付です。YYYY-MM-DD形式で入力します。</t>
  </si>
  <si>
    <t>tax_base</t>
  </si>
  <si>
    <t>Nilai transaksi sebagai dasar perhitungan PPN.</t>
  </si>
  <si>
    <t>Transaction value used as the basis for VAT calculation.</t>
  </si>
  <si>
    <t>PPN 계산 기준이 되는 거래금액입니다.</t>
  </si>
  <si>
    <t>用于计算增值税的交易金额。</t>
  </si>
  <si>
    <t>VAT計算の基礎となる取引金額です。</t>
  </si>
  <si>
    <t>dpp_nilai_lain</t>
  </si>
  <si>
    <t>DPP Nilai Lain. Untuk transaksi umum biasanya dihitung dari Tax Base × 11/12.</t>
  </si>
  <si>
    <t>Other Tax Base value. For general transactions, it is usually calculated as Tax Base × 11/12.</t>
  </si>
  <si>
    <t>DPP Nilai Lain 금액입니다. 일반 거래는 보통 Tax Base × 11/12로 계산합니다.</t>
  </si>
  <si>
    <t>其他计税基础。一般交易通常按 Tax Base × 11/12 计算。</t>
  </si>
  <si>
    <t>その他課税標準額です。一般取引では通常 Tax Base × 11/12 で計算します。</t>
  </si>
  <si>
    <t>tax_rate</t>
  </si>
  <si>
    <t>Tarif PPN. Untuk transaksi umum isi 12%.</t>
  </si>
  <si>
    <t>VAT rate. For general transactions, enter 12%.</t>
  </si>
  <si>
    <t>PPN 세율입니다. 일반 거래는 12%를 입력합니다.</t>
  </si>
  <si>
    <t>增值税税率。一般交易填写 12%。</t>
  </si>
  <si>
    <t>VAT税率です。一般取引は12%を入力します。</t>
  </si>
  <si>
    <t>vat</t>
  </si>
  <si>
    <t>Nilai PPN. Untuk transaksi umum dihitung dari DPP Nilai Lain × 12%.</t>
  </si>
  <si>
    <t>VAT amount. For general transactions, calculate as DPP Nilai Lain × 12%.</t>
  </si>
  <si>
    <t>PPN 금액입니다. 일반 거래는 DPP Nilai Lain × 12%로 계산합니다.</t>
  </si>
  <si>
    <t>增值税金额。一般交易按 DPP Nilai Lain × 12% 计算。</t>
  </si>
  <si>
    <t>VAT金額です。一般取引では DPP Nilai Lain × 12% で計算します。</t>
  </si>
  <si>
    <t>notes</t>
  </si>
  <si>
    <t>Catatan tambahan jika ada. Contoh: Faktur Pajak belum diterima, retur, revisi invoice.</t>
  </si>
  <si>
    <t>Additional notes if any. Example: tax invoice not yet received, return, revised invoice.</t>
  </si>
  <si>
    <t>특이사항을 입력합니다. 예: Faktur Pajak 미수령, 반품, Invoice 수정 등.</t>
  </si>
  <si>
    <t>如有补充事项请填写。例如：尚未收到税务发票、退货、发票修正等。</t>
  </si>
  <si>
    <t>特記事項を入力します。例：税務インボイス未受領、返品、インボイス修正など。</t>
  </si>
  <si>
    <t>0018692673055000</t>
  </si>
  <si>
    <t>SAMINDO ELECTRONICS</t>
  </si>
  <si>
    <t>kartu nama 2 muka</t>
  </si>
  <si>
    <t>04002600120812241</t>
  </si>
  <si>
    <t>0107-BJS-INV-IV-2026</t>
  </si>
  <si>
    <t>0957124209061000</t>
  </si>
  <si>
    <t>IROOM DESAIN INDONESIA</t>
  </si>
  <si>
    <t>Moida Gancit</t>
  </si>
  <si>
    <t>04002600149385209</t>
  </si>
  <si>
    <t>0123-BJS-INV-IV-2026</t>
  </si>
  <si>
    <t>0934054875011000</t>
  </si>
  <si>
    <t>FAST BEAUTY INDONESIA</t>
  </si>
  <si>
    <t>VMD</t>
  </si>
  <si>
    <t>04002600152514611</t>
  </si>
  <si>
    <t>0131-BJS-INV-IV-2026</t>
  </si>
  <si>
    <t>BANGUN BAJA SENTOSA</t>
  </si>
  <si>
    <t>UNP 5btng, Siku 4x4 5btng, kansai 2kalrng, Unp 3btng, Siku 3btng, Unp 5btng, pipa hitam</t>
  </si>
  <si>
    <t>04002600134931761</t>
  </si>
  <si>
    <t>TOPINDO LUCKY SPORTS</t>
  </si>
  <si>
    <t>Bola golf 100</t>
  </si>
  <si>
    <t>04002600113895187</t>
  </si>
  <si>
    <t>TRB-26040615192201/002</t>
  </si>
  <si>
    <t>SELARAS MULTI CIPTA</t>
  </si>
  <si>
    <t>stiker MGH</t>
  </si>
  <si>
    <t>04002600124864309</t>
  </si>
  <si>
    <t>2026/26.04.10737</t>
  </si>
  <si>
    <t>MULIA MANDIRI SUPPLY</t>
  </si>
  <si>
    <t>Takikossai sandblast polos 2roll</t>
  </si>
  <si>
    <t>04002600152692795</t>
  </si>
  <si>
    <t>Galur/Sale/0426/05611</t>
  </si>
  <si>
    <t>PRIMA MEDIA INVESTAMA</t>
  </si>
  <si>
    <t xml:space="preserve">Acrylic 5mm 5L, 3mm 5L, 8mm 3L, 10mm bening 3L &amp; 10mm </t>
  </si>
  <si>
    <t>04002600143620700</t>
  </si>
  <si>
    <t>INV-ACL260432</t>
  </si>
  <si>
    <t>MULTI VISCOMINDO</t>
  </si>
  <si>
    <t>Ritrama, albatros, superclear</t>
  </si>
  <si>
    <t>04002600144668169</t>
  </si>
  <si>
    <t>0421111/MV/2026</t>
  </si>
  <si>
    <t>BELINKEN GUNDALING</t>
  </si>
  <si>
    <t>Buku Korea bisnis</t>
  </si>
  <si>
    <t>04002600145467564</t>
  </si>
  <si>
    <t>INV202604200161-CBG</t>
  </si>
  <si>
    <t>Buku menu yongdaeri</t>
  </si>
  <si>
    <t>04002600145501797</t>
  </si>
  <si>
    <t>INV 202604240371-CBG</t>
  </si>
  <si>
    <t>buku menu yongdaeri tambahan</t>
  </si>
  <si>
    <t>04002600152058612</t>
  </si>
  <si>
    <t>INV202604280041-CBG</t>
  </si>
  <si>
    <t>04012600152066550</t>
  </si>
  <si>
    <t>INV202604280098</t>
  </si>
  <si>
    <t>SINERGI MITRA GRAFIKA</t>
  </si>
  <si>
    <t>Lightbox moida</t>
  </si>
  <si>
    <t>04002600142005286</t>
  </si>
  <si>
    <t>212/INV-SMG/IV/2026</t>
  </si>
  <si>
    <t>04002600130205315</t>
  </si>
  <si>
    <t>206/INV-SMG/IV/2026</t>
  </si>
  <si>
    <t>MUKTI KARYA PERSADA</t>
  </si>
  <si>
    <t>table mat &amp; sumpt garden merah hijau</t>
  </si>
  <si>
    <t>04002600118428173</t>
  </si>
  <si>
    <t>Q00012/MKP/IV/2026</t>
  </si>
  <si>
    <t>Laminating doff &amp; Flexy</t>
  </si>
  <si>
    <t>04002600155544009</t>
  </si>
  <si>
    <t>0430088/MV/2026</t>
  </si>
  <si>
    <t>Flexy 1roll</t>
  </si>
  <si>
    <t>04002600155544018</t>
  </si>
  <si>
    <t>0430086/MV/2026</t>
  </si>
  <si>
    <t>CAHAYA MANDIRI GEMILANG</t>
  </si>
  <si>
    <t>laminating matt &amp; Stiker inflex</t>
  </si>
  <si>
    <t>04002600121161366</t>
  </si>
  <si>
    <t>CMG260633</t>
  </si>
  <si>
    <t>ori mimaki C5250 1L Cyan, C5250. 1L Magenta, C5250 yllow, C5250 1L blck, LU5210 UV 1L Cyan, Stiker inflex 1.52x50</t>
  </si>
  <si>
    <t>04002600116649373</t>
  </si>
  <si>
    <t>CMG260612</t>
  </si>
  <si>
    <t>Orimimaki LU5210 UV 1L Black</t>
  </si>
  <si>
    <t>04002600111113712</t>
  </si>
  <si>
    <t>CMG260582</t>
  </si>
  <si>
    <t>SAGA PRIMA MANDIRI</t>
  </si>
  <si>
    <t>Jasa Pindahan</t>
  </si>
  <si>
    <t>05002600111738433</t>
  </si>
  <si>
    <t>043/SPM/04/2026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</si>
</sst>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00&quot;.&quot;000&quot;.&quot;000&quot;.&quot;0&quot;-&quot;000&quot;.&quot;000"/>
    <numFmt numFmtId="165" formatCode="000&quot;.&quot;000&quot;-&quot;00&quot;.&quot;00000000"/>
    <numFmt numFmtId="166" formatCode="_-[$Rp-421]* #,##0_-;\-[$Rp-421]* #,##0_-;_-[$Rp-421]* &quot;-&quot;_-;_-@_-"/>
    <numFmt numFmtId="167" formatCode="[$-409]d\-mmm\-yy;@"/>
    <numFmt numFmtId="168" formatCode="_-* #,##0.00_-;\-* #,##0.00_-;_-* &quot;-&quot;??_-;_-@_-"/>
    <numFmt numFmtId="169" formatCode="_(* #,##0_);_(* \(#,##0\);_(* &quot;-&quot;??_);_(@_)"/>
    <numFmt numFmtId="170" formatCode="_-* #,##0_-;\-* #,##0_-;_-* &quot;-&quot;??_-;_-@_-"/>
    <numFmt numFmtId="171" formatCode="0.0%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166" fontId="1" fillId="0" borderId="0"/>
    <xf numFmtId="168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vertical="center"/>
    </xf>
    <xf numFmtId="9" fontId="3" fillId="0" borderId="0" xfId="2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1" fontId="3" fillId="0" borderId="1" xfId="0" quotePrefix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right" vertical="center"/>
    </xf>
    <xf numFmtId="9" fontId="3" fillId="0" borderId="1" xfId="2" applyFont="1" applyBorder="1" applyAlignment="1">
      <alignment horizontal="right" vertical="center"/>
    </xf>
    <xf numFmtId="41" fontId="2" fillId="0" borderId="1" xfId="1" applyFont="1" applyBorder="1" applyAlignment="1">
      <alignment horizontal="right" vertical="center"/>
    </xf>
    <xf numFmtId="9" fontId="2" fillId="0" borderId="1" xfId="2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1" fontId="2" fillId="8" borderId="1" xfId="1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0" borderId="1" xfId="4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9" fillId="0" borderId="2" xfId="0" applyNumberFormat="1" applyFont="1" applyBorder="1"/>
    <xf numFmtId="0" fontId="8" fillId="0" borderId="1" xfId="0" applyFont="1" applyBorder="1" applyAlignment="1">
      <alignment vertical="center"/>
    </xf>
    <xf numFmtId="167" fontId="8" fillId="0" borderId="1" xfId="5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vertical="center"/>
    </xf>
    <xf numFmtId="169" fontId="8" fillId="0" borderId="1" xfId="6" applyNumberFormat="1" applyFont="1" applyFill="1" applyBorder="1" applyAlignment="1">
      <alignment horizontal="center" vertical="center" wrapText="1"/>
    </xf>
    <xf numFmtId="9" fontId="8" fillId="0" borderId="1" xfId="2" applyFont="1" applyFill="1" applyBorder="1" applyAlignment="1">
      <alignment horizontal="center" vertical="center"/>
    </xf>
    <xf numFmtId="3" fontId="8" fillId="0" borderId="1" xfId="1" applyNumberFormat="1" applyFont="1" applyFill="1" applyBorder="1"/>
    <xf numFmtId="43" fontId="8" fillId="0" borderId="1" xfId="3" applyFont="1" applyFill="1" applyBorder="1" applyAlignment="1">
      <alignment horizontal="center"/>
    </xf>
    <xf numFmtId="167" fontId="8" fillId="0" borderId="1" xfId="5" quotePrefix="1" applyNumberFormat="1" applyFont="1" applyBorder="1" applyAlignment="1">
      <alignment horizontal="center" vertical="center"/>
    </xf>
    <xf numFmtId="0" fontId="8" fillId="0" borderId="0" xfId="4" applyFont="1"/>
    <xf numFmtId="0" fontId="8" fillId="0" borderId="0" xfId="4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/>
    </xf>
    <xf numFmtId="169" fontId="8" fillId="0" borderId="0" xfId="6" applyNumberFormat="1" applyFont="1" applyFill="1" applyBorder="1" applyAlignment="1">
      <alignment vertical="center"/>
    </xf>
    <xf numFmtId="9" fontId="8" fillId="0" borderId="0" xfId="2" applyFont="1" applyFill="1" applyBorder="1" applyAlignment="1"/>
    <xf numFmtId="3" fontId="8" fillId="0" borderId="0" xfId="1" applyNumberFormat="1" applyFont="1" applyFill="1" applyBorder="1"/>
    <xf numFmtId="43" fontId="8" fillId="0" borderId="0" xfId="3" applyFont="1" applyFill="1" applyBorder="1" applyAlignment="1">
      <alignment horizontal="center"/>
    </xf>
    <xf numFmtId="164" fontId="8" fillId="0" borderId="1" xfId="4" quotePrefix="1" applyNumberFormat="1" applyFont="1" applyBorder="1" applyAlignment="1">
      <alignment horizontal="center"/>
    </xf>
    <xf numFmtId="165" fontId="9" fillId="0" borderId="1" xfId="0" applyNumberFormat="1" applyFont="1" applyBorder="1"/>
    <xf numFmtId="165" fontId="10" fillId="0" borderId="1" xfId="0" quotePrefix="1" applyNumberFormat="1" applyFont="1" applyBorder="1"/>
    <xf numFmtId="169" fontId="8" fillId="0" borderId="1" xfId="3" applyNumberFormat="1" applyFont="1" applyFill="1" applyBorder="1" applyAlignment="1">
      <alignment vertical="center"/>
    </xf>
    <xf numFmtId="170" fontId="8" fillId="0" borderId="1" xfId="6" applyNumberFormat="1" applyFont="1" applyFill="1" applyBorder="1" applyAlignment="1">
      <alignment horizontal="right" vertical="top"/>
    </xf>
    <xf numFmtId="165" fontId="10" fillId="0" borderId="1" xfId="0" applyNumberFormat="1" applyFont="1" applyBorder="1"/>
    <xf numFmtId="171" fontId="8" fillId="0" borderId="1" xfId="2" applyNumberFormat="1" applyFont="1" applyFill="1" applyBorder="1" applyAlignment="1">
      <alignment horizontal="center" vertical="center"/>
    </xf>
  </cellXfs>
  <cellStyles count="7">
    <cellStyle name="Comma" xfId="3" builtinId="3"/>
    <cellStyle name="Comma [0]" xfId="1" builtinId="6"/>
    <cellStyle name="Comma 2" xfId="6" xr:uid="{13D903E3-FE2B-E843-904F-0DAED1812183}"/>
    <cellStyle name="Normal" xfId="0" builtinId="0"/>
    <cellStyle name="Normal 2" xfId="5" xr:uid="{61CF492D-0790-2341-92E8-CC3959BB6EBB}"/>
    <cellStyle name="Normal 4 2 5" xfId="4" xr:uid="{87D89213-AA91-F64A-9FAD-AF955EF8A648}"/>
    <cellStyle name="Percent" xfId="2" builtinId="5"/>
  </cellStyles>
  <dxfs count="1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0FDFF"/>
      <color rgb="FFFF8AD8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BINTANG%20JAYA%20SOLUTIONS%20-%20VAT%20COMPLIANCE%202026.xlsx" TargetMode="External"/><Relationship Id="rId2" Type="http://schemas.openxmlformats.org/officeDocument/2006/relationships/externalLinkPath" Target="/Users/tommy/Downloads/BINTANG%20JAYA%20SOLUTIONS%20-%20VAT%20COMPLIANCE%202026.xlsx" TargetMode="External"/><Relationship Id="rId1" Type="http://schemas.openxmlformats.org/officeDocument/2006/relationships/externalLinkPath" Target="/Users/tommy/Downloads/BINTANG%20JAYA%20SOLUTIONS%20-%20VAT%20COMPLIANC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404 (R)"/>
      <sheetName val="2502 - bjs"/>
      <sheetName val="2604"/>
      <sheetName val="WEBBASE 2401"/>
      <sheetName val="WEBBASE 2312"/>
    </sheetNames>
    <sheetDataSet>
      <sheetData sheetId="0" refreshError="1"/>
      <sheetData sheetId="1" refreshError="1"/>
      <sheetData sheetId="2">
        <row r="8">
          <cell r="C8" t="str">
            <v>IROOM DESAIN INDONESIA</v>
          </cell>
          <cell r="F8" t="str">
            <v>04002600149385209</v>
          </cell>
        </row>
        <row r="9">
          <cell r="C9" t="str">
            <v>FAST BEAUTY INDONESIA</v>
          </cell>
          <cell r="F9" t="str">
            <v>04002600152514611</v>
          </cell>
        </row>
        <row r="14">
          <cell r="C14" t="str">
            <v>NAME</v>
          </cell>
          <cell r="F14" t="str">
            <v>EFAKTUR NO</v>
          </cell>
        </row>
        <row r="15">
          <cell r="C15" t="str">
            <v>BANGUN BAJA SENTOSA</v>
          </cell>
          <cell r="F15" t="str">
            <v>04002600134931761</v>
          </cell>
        </row>
        <row r="16">
          <cell r="C16" t="str">
            <v>TOPINDO LUCKY SPORTS</v>
          </cell>
          <cell r="F16" t="str">
            <v>04002600113895187</v>
          </cell>
        </row>
        <row r="17">
          <cell r="C17" t="str">
            <v>SELARAS MULTI CIPTA</v>
          </cell>
          <cell r="F17" t="str">
            <v>04002600124864309</v>
          </cell>
        </row>
        <row r="18">
          <cell r="C18" t="str">
            <v>MULIA MANDIRI SUPPLY</v>
          </cell>
          <cell r="F18" t="str">
            <v>04002600152692795</v>
          </cell>
        </row>
        <row r="19">
          <cell r="C19" t="str">
            <v>PRIMA MEDIA INVESTAMA</v>
          </cell>
        </row>
        <row r="20">
          <cell r="C20" t="str">
            <v>MULTI VISCOMINDO</v>
          </cell>
          <cell r="F20" t="str">
            <v>04002600144668169</v>
          </cell>
        </row>
        <row r="21">
          <cell r="C21" t="str">
            <v>BELINKEN GUNDALING</v>
          </cell>
          <cell r="F21" t="str">
            <v>04002600145467564</v>
          </cell>
        </row>
        <row r="22">
          <cell r="C22" t="str">
            <v>BELINKEN GUNDALING</v>
          </cell>
          <cell r="F22" t="str">
            <v>04002600145501797</v>
          </cell>
        </row>
        <row r="23">
          <cell r="C23" t="str">
            <v>BELINKEN GUNDALING</v>
          </cell>
          <cell r="F23" t="str">
            <v>04002600152058612</v>
          </cell>
        </row>
        <row r="24">
          <cell r="C24" t="str">
            <v>BELINKEN GUNDALING</v>
          </cell>
          <cell r="F24" t="str">
            <v>04012600152066550</v>
          </cell>
        </row>
        <row r="25">
          <cell r="C25" t="str">
            <v>SINERGI MITRA GRAFIKA</v>
          </cell>
          <cell r="F25" t="str">
            <v>04002600142005286</v>
          </cell>
        </row>
        <row r="26">
          <cell r="C26" t="str">
            <v>SINERGI MITRA GRAFIKA</v>
          </cell>
          <cell r="F26" t="str">
            <v>04002600130205315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A03C-83A4-47A3-8FB0-274572010D6B}">
  <dimension ref="A1:P37"/>
  <sheetViews>
    <sheetView tabSelected="1" zoomScale="111" zoomScaleNormal="70" workbookViewId="0">
      <selection activeCell="D47" sqref="D47"/>
    </sheetView>
  </sheetViews>
  <sheetFormatPr baseColWidth="10" defaultColWidth="9" defaultRowHeight="14" x14ac:dyDescent="0.2"/>
  <cols>
    <col min="1" max="1" width="9" style="1" bestFit="1" customWidth="1"/>
    <col min="2" max="2" width="13.6640625" style="1" bestFit="1" customWidth="1"/>
    <col min="3" max="3" width="11.6640625" style="1" bestFit="1" customWidth="1"/>
    <col min="4" max="4" width="15" style="1" bestFit="1" customWidth="1"/>
    <col min="5" max="5" width="17" style="1" bestFit="1" customWidth="1"/>
    <col min="6" max="6" width="23.1640625" style="1" bestFit="1" customWidth="1"/>
    <col min="7" max="7" width="18.33203125" style="1" bestFit="1" customWidth="1"/>
    <col min="8" max="8" width="20.5" style="2" bestFit="1" customWidth="1"/>
    <col min="9" max="9" width="16.6640625" style="3" bestFit="1" customWidth="1"/>
    <col min="10" max="10" width="21.5" style="3" bestFit="1" customWidth="1"/>
    <col min="11" max="11" width="15.33203125" style="4" bestFit="1" customWidth="1"/>
    <col min="12" max="12" width="11.1640625" style="3" bestFit="1" customWidth="1"/>
    <col min="13" max="13" width="13.83203125" style="1" bestFit="1" customWidth="1"/>
    <col min="14" max="14" width="12.83203125" style="1" bestFit="1" customWidth="1"/>
    <col min="15" max="15" width="9" style="1"/>
    <col min="16" max="16" width="14.33203125" style="1" bestFit="1" customWidth="1"/>
    <col min="17" max="16384" width="9" style="1"/>
  </cols>
  <sheetData>
    <row r="1" spans="1:16" x14ac:dyDescent="0.2">
      <c r="A1" s="30" t="s">
        <v>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6" s="2" customFormat="1" x14ac:dyDescent="0.2">
      <c r="A2" s="24" t="s">
        <v>4</v>
      </c>
      <c r="B2" s="25" t="s">
        <v>1</v>
      </c>
      <c r="C2" s="25" t="s">
        <v>0</v>
      </c>
      <c r="D2" s="25" t="s">
        <v>2</v>
      </c>
      <c r="E2" s="11" t="s">
        <v>5</v>
      </c>
      <c r="F2" s="11" t="s">
        <v>6</v>
      </c>
      <c r="G2" s="27" t="s">
        <v>7</v>
      </c>
      <c r="H2" s="27" t="s">
        <v>8</v>
      </c>
      <c r="I2" s="28" t="s">
        <v>9</v>
      </c>
      <c r="J2" s="28" t="s">
        <v>14</v>
      </c>
      <c r="K2" s="29" t="s">
        <v>10</v>
      </c>
      <c r="L2" s="28" t="s">
        <v>11</v>
      </c>
      <c r="M2" s="26" t="s">
        <v>12</v>
      </c>
    </row>
    <row r="3" spans="1:16" ht="15" x14ac:dyDescent="0.2">
      <c r="A3" s="6">
        <v>1</v>
      </c>
      <c r="B3" s="32" t="s">
        <v>106</v>
      </c>
      <c r="C3" s="33" t="s">
        <v>107</v>
      </c>
      <c r="D3" s="34"/>
      <c r="E3" s="37" t="s">
        <v>110</v>
      </c>
      <c r="F3" s="35" t="s">
        <v>108</v>
      </c>
      <c r="G3" s="36" t="s">
        <v>109</v>
      </c>
      <c r="H3" s="36">
        <v>46121</v>
      </c>
      <c r="I3" s="38">
        <v>400000</v>
      </c>
      <c r="J3" s="38">
        <f>I3*(11/12)</f>
        <v>366666.66666666663</v>
      </c>
      <c r="K3" s="39">
        <v>0.12</v>
      </c>
      <c r="L3" s="38">
        <f>J3*K3</f>
        <v>43999.999999999993</v>
      </c>
      <c r="M3" s="40"/>
      <c r="N3" s="5"/>
      <c r="O3" s="5"/>
      <c r="P3" s="5"/>
    </row>
    <row r="4" spans="1:16" ht="15" x14ac:dyDescent="0.2">
      <c r="A4" s="6">
        <v>2</v>
      </c>
      <c r="B4" s="32" t="s">
        <v>111</v>
      </c>
      <c r="C4" s="33" t="s">
        <v>112</v>
      </c>
      <c r="D4" s="34"/>
      <c r="E4" s="37" t="s">
        <v>115</v>
      </c>
      <c r="F4" s="35" t="s">
        <v>113</v>
      </c>
      <c r="G4" s="42" t="s">
        <v>114</v>
      </c>
      <c r="H4" s="36">
        <v>46135</v>
      </c>
      <c r="I4" s="38">
        <f>54500000*50%</f>
        <v>27250000</v>
      </c>
      <c r="J4" s="38">
        <f t="shared" ref="J4:J5" si="0">I4*(11/12)</f>
        <v>24979166.666666664</v>
      </c>
      <c r="K4" s="39">
        <v>0.12</v>
      </c>
      <c r="L4" s="38">
        <f>J4*K4</f>
        <v>2997499.9999999995</v>
      </c>
      <c r="M4" s="40"/>
      <c r="N4" s="5"/>
      <c r="O4" s="5"/>
      <c r="P4" s="5"/>
    </row>
    <row r="5" spans="1:16" ht="15" x14ac:dyDescent="0.2">
      <c r="A5" s="6">
        <v>3</v>
      </c>
      <c r="B5" s="32" t="s">
        <v>116</v>
      </c>
      <c r="C5" s="33" t="s">
        <v>117</v>
      </c>
      <c r="D5" s="34"/>
      <c r="E5" s="37" t="s">
        <v>120</v>
      </c>
      <c r="F5" s="35" t="s">
        <v>118</v>
      </c>
      <c r="G5" s="36" t="s">
        <v>119</v>
      </c>
      <c r="H5" s="36">
        <v>46141</v>
      </c>
      <c r="I5" s="38">
        <v>1300000</v>
      </c>
      <c r="J5" s="38">
        <f t="shared" si="0"/>
        <v>1191666.6666666665</v>
      </c>
      <c r="K5" s="39">
        <v>0.12</v>
      </c>
      <c r="L5" s="38">
        <f>J5*K5</f>
        <v>142999.99999999997</v>
      </c>
      <c r="M5" s="40"/>
      <c r="N5" s="5"/>
      <c r="O5" s="5"/>
      <c r="P5" s="5"/>
    </row>
    <row r="6" spans="1:16" x14ac:dyDescent="0.2">
      <c r="A6" s="6">
        <v>4</v>
      </c>
      <c r="B6" s="7"/>
      <c r="C6" s="8"/>
      <c r="D6" s="8"/>
      <c r="E6" s="8"/>
      <c r="F6" s="8"/>
      <c r="G6" s="8"/>
      <c r="H6" s="9"/>
      <c r="I6" s="12"/>
      <c r="J6" s="12"/>
      <c r="K6" s="13"/>
      <c r="L6" s="12"/>
      <c r="M6" s="16"/>
    </row>
    <row r="7" spans="1:16" x14ac:dyDescent="0.2">
      <c r="A7" s="8"/>
      <c r="B7" s="7"/>
      <c r="C7" s="8"/>
      <c r="D7" s="8"/>
      <c r="E7" s="8"/>
      <c r="F7" s="8"/>
      <c r="G7" s="8"/>
      <c r="H7" s="9"/>
      <c r="I7" s="12"/>
      <c r="J7" s="12"/>
      <c r="K7" s="13"/>
      <c r="L7" s="12"/>
      <c r="M7" s="16"/>
    </row>
    <row r="8" spans="1:16" x14ac:dyDescent="0.2">
      <c r="A8" s="8"/>
      <c r="B8" s="7"/>
      <c r="C8" s="8"/>
      <c r="D8" s="8"/>
      <c r="E8" s="8"/>
      <c r="F8" s="8"/>
      <c r="G8" s="8"/>
      <c r="H8" s="9"/>
      <c r="I8" s="12"/>
      <c r="J8" s="12"/>
      <c r="K8" s="13"/>
      <c r="L8" s="12"/>
      <c r="M8" s="16"/>
    </row>
    <row r="9" spans="1:16" x14ac:dyDescent="0.2">
      <c r="A9" s="8"/>
      <c r="B9" s="7"/>
      <c r="C9" s="8"/>
      <c r="D9" s="8"/>
      <c r="E9" s="8"/>
      <c r="F9" s="8"/>
      <c r="G9" s="8"/>
      <c r="H9" s="9"/>
      <c r="I9" s="12"/>
      <c r="J9" s="12"/>
      <c r="K9" s="13"/>
      <c r="L9" s="12"/>
      <c r="M9" s="16"/>
    </row>
    <row r="10" spans="1:16" x14ac:dyDescent="0.2">
      <c r="A10" s="8"/>
      <c r="B10" s="7"/>
      <c r="C10" s="8"/>
      <c r="D10" s="8"/>
      <c r="E10" s="8"/>
      <c r="F10" s="8"/>
      <c r="G10" s="8"/>
      <c r="H10" s="9"/>
      <c r="I10" s="12"/>
      <c r="J10" s="12"/>
      <c r="K10" s="13"/>
      <c r="L10" s="12"/>
      <c r="M10" s="16"/>
    </row>
    <row r="11" spans="1:16" x14ac:dyDescent="0.2">
      <c r="A11" s="8"/>
      <c r="B11" s="8"/>
      <c r="C11" s="8"/>
      <c r="D11" s="8"/>
      <c r="E11" s="8"/>
      <c r="F11" s="8"/>
      <c r="G11" s="8"/>
      <c r="H11" s="10"/>
      <c r="I11" s="14" t="s">
        <v>15</v>
      </c>
      <c r="J11" s="14"/>
      <c r="K11" s="15"/>
      <c r="L11" s="14" t="s">
        <v>15</v>
      </c>
      <c r="M11" s="16"/>
    </row>
    <row r="13" spans="1:16" x14ac:dyDescent="0.2">
      <c r="A13" s="30" t="s">
        <v>13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6" s="2" customFormat="1" x14ac:dyDescent="0.2">
      <c r="A14" s="23" t="s">
        <v>4</v>
      </c>
      <c r="B14" s="25" t="s">
        <v>1</v>
      </c>
      <c r="C14" s="25" t="s">
        <v>0</v>
      </c>
      <c r="D14" s="25" t="s">
        <v>2</v>
      </c>
      <c r="E14" s="11" t="s">
        <v>5</v>
      </c>
      <c r="F14" s="11" t="s">
        <v>6</v>
      </c>
      <c r="G14" s="27" t="s">
        <v>7</v>
      </c>
      <c r="H14" s="27" t="s">
        <v>8</v>
      </c>
      <c r="I14" s="28" t="s">
        <v>9</v>
      </c>
      <c r="J14" s="28" t="s">
        <v>14</v>
      </c>
      <c r="K14" s="29" t="s">
        <v>10</v>
      </c>
      <c r="L14" s="28" t="s">
        <v>11</v>
      </c>
      <c r="M14" s="26" t="s">
        <v>12</v>
      </c>
    </row>
    <row r="15" spans="1:16" x14ac:dyDescent="0.2">
      <c r="A15" s="31">
        <v>1</v>
      </c>
      <c r="B15" s="53" t="e">
        <f>INDEX(#REF!,MATCH('[1]2604'!C8,#REF!,0))</f>
        <v>#REF!</v>
      </c>
      <c r="C15" s="35" t="s">
        <v>121</v>
      </c>
      <c r="D15" s="54"/>
      <c r="E15" s="35"/>
      <c r="F15" s="35" t="s">
        <v>122</v>
      </c>
      <c r="G15" s="55" t="s">
        <v>123</v>
      </c>
      <c r="H15" s="36" t="e">
        <f>INDEX(#REF!,MATCH('[1]2604'!F8,#REF!,0))</f>
        <v>#REF!</v>
      </c>
      <c r="I15" s="56">
        <f>2461261+1086486.5+1060811</f>
        <v>4608558.5</v>
      </c>
      <c r="J15" s="38">
        <f t="shared" ref="J15:J33" si="1">I15*(11/12)</f>
        <v>4224511.958333333</v>
      </c>
      <c r="K15" s="39">
        <v>0.12</v>
      </c>
      <c r="L15" s="38">
        <f>J15*K15</f>
        <v>506941.43499999994</v>
      </c>
      <c r="M15" s="57"/>
    </row>
    <row r="16" spans="1:16" x14ac:dyDescent="0.2">
      <c r="A16" s="31">
        <v>2</v>
      </c>
      <c r="B16" s="53" t="e">
        <f>INDEX(#REF!,MATCH('[1]2604'!C9,#REF!,0))</f>
        <v>#REF!</v>
      </c>
      <c r="C16" s="35" t="s">
        <v>124</v>
      </c>
      <c r="D16" s="54"/>
      <c r="E16" s="35" t="s">
        <v>127</v>
      </c>
      <c r="F16" s="35" t="s">
        <v>125</v>
      </c>
      <c r="G16" s="55" t="s">
        <v>126</v>
      </c>
      <c r="H16" s="36" t="e">
        <f>INDEX(#REF!,MATCH('[1]2604'!F9,#REF!,0))</f>
        <v>#REF!</v>
      </c>
      <c r="I16" s="56">
        <v>43648649</v>
      </c>
      <c r="J16" s="38">
        <f t="shared" si="1"/>
        <v>40011261.583333328</v>
      </c>
      <c r="K16" s="39">
        <v>0.12</v>
      </c>
      <c r="L16" s="38">
        <f t="shared" ref="L16:L33" si="2">J16*K16</f>
        <v>4801351.3899999997</v>
      </c>
      <c r="M16" s="57"/>
    </row>
    <row r="17" spans="1:13" x14ac:dyDescent="0.2">
      <c r="A17" s="31">
        <v>3</v>
      </c>
      <c r="B17" s="53" t="e">
        <f>INDEX(#REF!,MATCH('[1]2604'!C10,#REF!,0))</f>
        <v>#REF!</v>
      </c>
      <c r="C17" s="35" t="s">
        <v>128</v>
      </c>
      <c r="D17" s="54"/>
      <c r="E17" s="37" t="s">
        <v>131</v>
      </c>
      <c r="F17" s="35" t="s">
        <v>129</v>
      </c>
      <c r="G17" s="55" t="s">
        <v>130</v>
      </c>
      <c r="H17" s="36" t="e">
        <f>INDEX(#REF!,MATCH('[1]2604'!F10,#REF!,0))</f>
        <v>#REF!</v>
      </c>
      <c r="I17" s="56">
        <v>2376000</v>
      </c>
      <c r="J17" s="38">
        <f t="shared" si="1"/>
        <v>2178000</v>
      </c>
      <c r="K17" s="39">
        <v>0.12</v>
      </c>
      <c r="L17" s="38">
        <f t="shared" si="2"/>
        <v>261360</v>
      </c>
      <c r="M17" s="57"/>
    </row>
    <row r="18" spans="1:13" x14ac:dyDescent="0.2">
      <c r="A18" s="31">
        <v>4</v>
      </c>
      <c r="B18" s="53" t="e">
        <f>INDEX(#REF!,MATCH('[1]2604'!C11,#REF!,0))</f>
        <v>#REF!</v>
      </c>
      <c r="C18" s="35" t="s">
        <v>132</v>
      </c>
      <c r="D18" s="54"/>
      <c r="E18" s="35" t="s">
        <v>135</v>
      </c>
      <c r="F18" s="35" t="s">
        <v>133</v>
      </c>
      <c r="G18" s="58" t="s">
        <v>134</v>
      </c>
      <c r="H18" s="36" t="e">
        <f>INDEX(#REF!,MATCH('[1]2604'!F11,#REF!,0))</f>
        <v>#REF!</v>
      </c>
      <c r="I18" s="56">
        <v>3288288</v>
      </c>
      <c r="J18" s="38">
        <f t="shared" si="1"/>
        <v>3014264</v>
      </c>
      <c r="K18" s="39">
        <v>0.12</v>
      </c>
      <c r="L18" s="38">
        <f t="shared" si="2"/>
        <v>361711.68</v>
      </c>
      <c r="M18" s="57"/>
    </row>
    <row r="19" spans="1:13" x14ac:dyDescent="0.2">
      <c r="A19" s="31">
        <v>5</v>
      </c>
      <c r="B19" s="53" t="e">
        <f>INDEX(#REF!,MATCH('[1]2604'!C12,#REF!,0))</f>
        <v>#REF!</v>
      </c>
      <c r="C19" s="35" t="s">
        <v>136</v>
      </c>
      <c r="D19" s="54"/>
      <c r="E19" s="35" t="s">
        <v>139</v>
      </c>
      <c r="F19" s="35" t="s">
        <v>137</v>
      </c>
      <c r="G19" s="55" t="s">
        <v>138</v>
      </c>
      <c r="H19" s="36" t="e">
        <f>INDEX(#REF!,MATCH('[1]2604'!F12,#REF!,0))</f>
        <v>#REF!</v>
      </c>
      <c r="I19" s="56">
        <v>26616216</v>
      </c>
      <c r="J19" s="38">
        <f t="shared" si="1"/>
        <v>24398198</v>
      </c>
      <c r="K19" s="39">
        <v>0.12</v>
      </c>
      <c r="L19" s="38">
        <f t="shared" si="2"/>
        <v>2927783.76</v>
      </c>
      <c r="M19" s="57"/>
    </row>
    <row r="20" spans="1:13" x14ac:dyDescent="0.2">
      <c r="A20" s="31">
        <v>6</v>
      </c>
      <c r="B20" s="53" t="e">
        <f>INDEX(#REF!,MATCH('[1]2604'!C13,#REF!,0))</f>
        <v>#REF!</v>
      </c>
      <c r="C20" s="35" t="s">
        <v>140</v>
      </c>
      <c r="D20" s="54"/>
      <c r="E20" s="37" t="s">
        <v>143</v>
      </c>
      <c r="F20" s="35" t="s">
        <v>141</v>
      </c>
      <c r="G20" s="55" t="s">
        <v>142</v>
      </c>
      <c r="H20" s="36" t="e">
        <f>INDEX(#REF!,MATCH('[1]2604'!F13,#REF!,0))</f>
        <v>#REF!</v>
      </c>
      <c r="I20" s="56">
        <v>7531261</v>
      </c>
      <c r="J20" s="38">
        <f t="shared" si="1"/>
        <v>6903655.916666666</v>
      </c>
      <c r="K20" s="39">
        <v>0.12</v>
      </c>
      <c r="L20" s="38">
        <f t="shared" si="2"/>
        <v>828438.70999999985</v>
      </c>
      <c r="M20" s="57"/>
    </row>
    <row r="21" spans="1:13" x14ac:dyDescent="0.2">
      <c r="A21" s="31">
        <v>7</v>
      </c>
      <c r="B21" s="53" t="e">
        <f>INDEX(#REF!,MATCH('[1]2604'!C14,#REF!,0))</f>
        <v>#REF!</v>
      </c>
      <c r="C21" s="35" t="s">
        <v>144</v>
      </c>
      <c r="D21" s="54"/>
      <c r="E21" s="37" t="s">
        <v>147</v>
      </c>
      <c r="F21" s="35" t="s">
        <v>145</v>
      </c>
      <c r="G21" s="55" t="s">
        <v>146</v>
      </c>
      <c r="H21" s="36" t="e">
        <f>INDEX(#REF!,MATCH('[1]2604'!F14,#REF!,0))</f>
        <v>#REF!</v>
      </c>
      <c r="I21" s="56">
        <v>4475000</v>
      </c>
      <c r="J21" s="38">
        <f t="shared" si="1"/>
        <v>4102083.333333333</v>
      </c>
      <c r="K21" s="39">
        <v>0.12</v>
      </c>
      <c r="L21" s="38">
        <f t="shared" si="2"/>
        <v>492249.99999999994</v>
      </c>
      <c r="M21" s="57"/>
    </row>
    <row r="22" spans="1:13" x14ac:dyDescent="0.2">
      <c r="A22" s="31">
        <v>8</v>
      </c>
      <c r="B22" s="53" t="e">
        <f>INDEX(#REF!,MATCH('[1]2604'!C15,#REF!,0))</f>
        <v>#REF!</v>
      </c>
      <c r="C22" s="35" t="s">
        <v>144</v>
      </c>
      <c r="D22" s="54"/>
      <c r="E22" s="35" t="s">
        <v>150</v>
      </c>
      <c r="F22" s="35" t="s">
        <v>148</v>
      </c>
      <c r="G22" s="58" t="s">
        <v>149</v>
      </c>
      <c r="H22" s="36" t="e">
        <f>INDEX(#REF!,MATCH('[1]2604'!F15,#REF!,0))</f>
        <v>#REF!</v>
      </c>
      <c r="I22" s="56">
        <v>1552000</v>
      </c>
      <c r="J22" s="38">
        <f t="shared" si="1"/>
        <v>1422666.6666666665</v>
      </c>
      <c r="K22" s="39">
        <v>0.12</v>
      </c>
      <c r="L22" s="38">
        <f t="shared" si="2"/>
        <v>170719.99999999997</v>
      </c>
      <c r="M22" s="57"/>
    </row>
    <row r="23" spans="1:13" x14ac:dyDescent="0.2">
      <c r="A23" s="31">
        <v>9</v>
      </c>
      <c r="B23" s="53" t="e">
        <f>INDEX(#REF!,MATCH('[1]2604'!C16,#REF!,0))</f>
        <v>#REF!</v>
      </c>
      <c r="C23" s="35" t="s">
        <v>144</v>
      </c>
      <c r="D23" s="54"/>
      <c r="E23" s="35" t="s">
        <v>153</v>
      </c>
      <c r="F23" s="35" t="s">
        <v>151</v>
      </c>
      <c r="G23" s="55" t="s">
        <v>152</v>
      </c>
      <c r="H23" s="36" t="e">
        <f>INDEX(#REF!,MATCH('[1]2604'!F16,#REF!,0))</f>
        <v>#REF!</v>
      </c>
      <c r="I23" s="56">
        <v>648000</v>
      </c>
      <c r="J23" s="38">
        <f t="shared" si="1"/>
        <v>594000</v>
      </c>
      <c r="K23" s="39">
        <v>0.12</v>
      </c>
      <c r="L23" s="38">
        <f t="shared" si="2"/>
        <v>71280</v>
      </c>
      <c r="M23" s="57"/>
    </row>
    <row r="24" spans="1:13" x14ac:dyDescent="0.2">
      <c r="A24" s="31">
        <v>10</v>
      </c>
      <c r="B24" s="53" t="e">
        <f>INDEX(#REF!,MATCH('[1]2604'!C17,#REF!,0))</f>
        <v>#REF!</v>
      </c>
      <c r="C24" s="35" t="s">
        <v>144</v>
      </c>
      <c r="D24" s="54"/>
      <c r="E24" s="37" t="s">
        <v>155</v>
      </c>
      <c r="F24" s="35" t="s">
        <v>129</v>
      </c>
      <c r="G24" s="55" t="s">
        <v>154</v>
      </c>
      <c r="H24" s="36" t="e">
        <f>INDEX(#REF!,MATCH('[1]2604'!F17,#REF!,0))</f>
        <v>#REF!</v>
      </c>
      <c r="I24" s="56">
        <v>971800</v>
      </c>
      <c r="J24" s="38">
        <f t="shared" si="1"/>
        <v>890816.66666666663</v>
      </c>
      <c r="K24" s="39">
        <v>0.12</v>
      </c>
      <c r="L24" s="38">
        <f t="shared" si="2"/>
        <v>106897.99999999999</v>
      </c>
      <c r="M24" s="57"/>
    </row>
    <row r="25" spans="1:13" x14ac:dyDescent="0.2">
      <c r="A25" s="31">
        <v>11</v>
      </c>
      <c r="B25" s="53" t="e">
        <f>INDEX(#REF!,MATCH('[1]2604'!C18,#REF!,0))</f>
        <v>#REF!</v>
      </c>
      <c r="C25" s="35" t="s">
        <v>156</v>
      </c>
      <c r="D25" s="54"/>
      <c r="E25" s="35" t="s">
        <v>159</v>
      </c>
      <c r="F25" s="35" t="s">
        <v>157</v>
      </c>
      <c r="G25" s="58" t="s">
        <v>158</v>
      </c>
      <c r="H25" s="36" t="e">
        <f>INDEX(#REF!,MATCH('[1]2604'!F18,#REF!,0))</f>
        <v>#REF!</v>
      </c>
      <c r="I25" s="56">
        <v>12500000</v>
      </c>
      <c r="J25" s="38">
        <f t="shared" si="1"/>
        <v>11458333.333333332</v>
      </c>
      <c r="K25" s="39">
        <v>0.12</v>
      </c>
      <c r="L25" s="38">
        <f t="shared" si="2"/>
        <v>1374999.9999999998</v>
      </c>
      <c r="M25" s="57"/>
    </row>
    <row r="26" spans="1:13" x14ac:dyDescent="0.2">
      <c r="A26" s="31">
        <v>12</v>
      </c>
      <c r="B26" s="53" t="e">
        <f>INDEX(#REF!,MATCH('[1]2604'!C19,#REF!,0))</f>
        <v>#REF!</v>
      </c>
      <c r="C26" s="35" t="s">
        <v>156</v>
      </c>
      <c r="D26" s="54"/>
      <c r="E26" s="35" t="s">
        <v>161</v>
      </c>
      <c r="F26" s="35"/>
      <c r="G26" s="58" t="s">
        <v>160</v>
      </c>
      <c r="H26" s="36">
        <v>46121</v>
      </c>
      <c r="I26" s="56">
        <v>2300000</v>
      </c>
      <c r="J26" s="38">
        <f t="shared" si="1"/>
        <v>2108333.333333333</v>
      </c>
      <c r="K26" s="39">
        <v>0.12</v>
      </c>
      <c r="L26" s="38">
        <f t="shared" si="2"/>
        <v>252999.99999999994</v>
      </c>
      <c r="M26" s="57"/>
    </row>
    <row r="27" spans="1:13" x14ac:dyDescent="0.2">
      <c r="A27" s="31">
        <v>13</v>
      </c>
      <c r="B27" s="53" t="e">
        <f>INDEX(#REF!,MATCH('[1]2604'!C20,#REF!,0))</f>
        <v>#REF!</v>
      </c>
      <c r="C27" s="35" t="s">
        <v>162</v>
      </c>
      <c r="D27" s="54"/>
      <c r="E27" s="35" t="s">
        <v>165</v>
      </c>
      <c r="F27" s="35" t="s">
        <v>163</v>
      </c>
      <c r="G27" s="55" t="s">
        <v>164</v>
      </c>
      <c r="H27" s="36" t="e">
        <f>INDEX(#REF!,MATCH('[1]2604'!F20,#REF!,0))</f>
        <v>#REF!</v>
      </c>
      <c r="I27" s="56">
        <v>22550000</v>
      </c>
      <c r="J27" s="38">
        <f t="shared" si="1"/>
        <v>20670833.333333332</v>
      </c>
      <c r="K27" s="39">
        <v>0.12</v>
      </c>
      <c r="L27" s="38">
        <f t="shared" si="2"/>
        <v>2480499.9999999995</v>
      </c>
      <c r="M27" s="57"/>
    </row>
    <row r="28" spans="1:13" x14ac:dyDescent="0.2">
      <c r="A28" s="31">
        <v>14</v>
      </c>
      <c r="B28" s="53" t="e">
        <f>INDEX(#REF!,MATCH('[1]2604'!C21,#REF!,0))</f>
        <v>#REF!</v>
      </c>
      <c r="C28" s="35" t="s">
        <v>140</v>
      </c>
      <c r="D28" s="54"/>
      <c r="E28" s="37" t="s">
        <v>168</v>
      </c>
      <c r="F28" s="35" t="s">
        <v>166</v>
      </c>
      <c r="G28" s="55" t="s">
        <v>167</v>
      </c>
      <c r="H28" s="36" t="e">
        <f>INDEX(#REF!,MATCH('[1]2604'!F21,#REF!,0))</f>
        <v>#REF!</v>
      </c>
      <c r="I28" s="56">
        <v>2843423</v>
      </c>
      <c r="J28" s="38">
        <f t="shared" si="1"/>
        <v>2606471.083333333</v>
      </c>
      <c r="K28" s="39">
        <v>0.12</v>
      </c>
      <c r="L28" s="38">
        <f t="shared" si="2"/>
        <v>312776.52999999997</v>
      </c>
      <c r="M28" s="57"/>
    </row>
    <row r="29" spans="1:13" x14ac:dyDescent="0.2">
      <c r="A29" s="31">
        <v>15</v>
      </c>
      <c r="B29" s="53" t="e">
        <f>INDEX(#REF!,MATCH('[1]2604'!C22,#REF!,0))</f>
        <v>#REF!</v>
      </c>
      <c r="C29" s="35" t="s">
        <v>140</v>
      </c>
      <c r="D29" s="54"/>
      <c r="E29" s="37" t="s">
        <v>171</v>
      </c>
      <c r="F29" s="35" t="s">
        <v>169</v>
      </c>
      <c r="G29" s="55" t="s">
        <v>170</v>
      </c>
      <c r="H29" s="36" t="e">
        <f>INDEX(#REF!,MATCH('[1]2604'!F22,#REF!,0))</f>
        <v>#REF!</v>
      </c>
      <c r="I29" s="56">
        <v>1065766</v>
      </c>
      <c r="J29" s="38">
        <f t="shared" si="1"/>
        <v>976952.16666666663</v>
      </c>
      <c r="K29" s="39">
        <v>0.12</v>
      </c>
      <c r="L29" s="38">
        <f t="shared" si="2"/>
        <v>117234.26</v>
      </c>
      <c r="M29" s="57"/>
    </row>
    <row r="30" spans="1:13" x14ac:dyDescent="0.2">
      <c r="A30" s="31">
        <v>16</v>
      </c>
      <c r="B30" s="53" t="e">
        <f>INDEX(#REF!,MATCH('[1]2604'!C23,#REF!,0))</f>
        <v>#REF!</v>
      </c>
      <c r="C30" s="35" t="s">
        <v>172</v>
      </c>
      <c r="D30" s="54"/>
      <c r="E30" s="35" t="s">
        <v>175</v>
      </c>
      <c r="F30" s="35" t="s">
        <v>173</v>
      </c>
      <c r="G30" s="58" t="s">
        <v>174</v>
      </c>
      <c r="H30" s="36" t="e">
        <f>INDEX(#REF!,MATCH('[1]2604'!F23,#REF!,0))</f>
        <v>#REF!</v>
      </c>
      <c r="I30" s="56">
        <v>7615710</v>
      </c>
      <c r="J30" s="38">
        <f t="shared" si="1"/>
        <v>6981067.5</v>
      </c>
      <c r="K30" s="39">
        <v>0.12</v>
      </c>
      <c r="L30" s="38">
        <f t="shared" si="2"/>
        <v>837728.1</v>
      </c>
      <c r="M30" s="57"/>
    </row>
    <row r="31" spans="1:13" x14ac:dyDescent="0.2">
      <c r="A31" s="31">
        <v>17</v>
      </c>
      <c r="B31" s="53" t="e">
        <f>INDEX(#REF!,MATCH('[1]2604'!C24,#REF!,0))</f>
        <v>#REF!</v>
      </c>
      <c r="C31" s="35" t="s">
        <v>172</v>
      </c>
      <c r="D31" s="54"/>
      <c r="E31" s="35" t="s">
        <v>178</v>
      </c>
      <c r="F31" s="35" t="s">
        <v>176</v>
      </c>
      <c r="G31" s="55" t="s">
        <v>177</v>
      </c>
      <c r="H31" s="36" t="e">
        <f>INDEX(#REF!,MATCH('[1]2604'!F24,#REF!,0))</f>
        <v>#REF!</v>
      </c>
      <c r="I31" s="56">
        <v>5192796.5</v>
      </c>
      <c r="J31" s="38">
        <f t="shared" si="1"/>
        <v>4760063.458333333</v>
      </c>
      <c r="K31" s="39">
        <v>0.12</v>
      </c>
      <c r="L31" s="38">
        <f t="shared" si="2"/>
        <v>571207.61499999999</v>
      </c>
      <c r="M31" s="57"/>
    </row>
    <row r="32" spans="1:13" x14ac:dyDescent="0.2">
      <c r="A32" s="31">
        <v>18</v>
      </c>
      <c r="B32" s="53" t="e">
        <f>INDEX(#REF!,MATCH('[1]2604'!C25,#REF!,0))</f>
        <v>#REF!</v>
      </c>
      <c r="C32" s="35" t="s">
        <v>172</v>
      </c>
      <c r="D32" s="54"/>
      <c r="E32" s="37" t="s">
        <v>181</v>
      </c>
      <c r="F32" s="35" t="s">
        <v>179</v>
      </c>
      <c r="G32" s="55" t="s">
        <v>180</v>
      </c>
      <c r="H32" s="36" t="e">
        <f>INDEX(#REF!,MATCH('[1]2604'!F25,#REF!,0))</f>
        <v>#REF!</v>
      </c>
      <c r="I32" s="56">
        <v>1171172</v>
      </c>
      <c r="J32" s="38">
        <f t="shared" si="1"/>
        <v>1073574.3333333333</v>
      </c>
      <c r="K32" s="39">
        <v>0.12</v>
      </c>
      <c r="L32" s="38">
        <f t="shared" si="2"/>
        <v>128828.91999999998</v>
      </c>
      <c r="M32" s="57"/>
    </row>
    <row r="33" spans="1:14" x14ac:dyDescent="0.2">
      <c r="A33" s="31">
        <v>19</v>
      </c>
      <c r="B33" s="53" t="e">
        <f>INDEX(#REF!,MATCH('[1]2604'!C26,#REF!,0))</f>
        <v>#REF!</v>
      </c>
      <c r="C33" s="35" t="s">
        <v>182</v>
      </c>
      <c r="D33" s="54"/>
      <c r="E33" s="37" t="s">
        <v>185</v>
      </c>
      <c r="F33" s="35" t="s">
        <v>183</v>
      </c>
      <c r="G33" s="55" t="s">
        <v>184</v>
      </c>
      <c r="H33" s="36" t="e">
        <f>INDEX(#REF!,MATCH('[1]2604'!F26,#REF!,0))</f>
        <v>#REF!</v>
      </c>
      <c r="I33" s="56">
        <v>28000000</v>
      </c>
      <c r="J33" s="38">
        <f t="shared" si="1"/>
        <v>25666666.666666664</v>
      </c>
      <c r="K33" s="59">
        <v>1.2E-2</v>
      </c>
      <c r="L33" s="38">
        <f t="shared" si="2"/>
        <v>308000</v>
      </c>
      <c r="M33" s="57"/>
    </row>
    <row r="34" spans="1:14" x14ac:dyDescent="0.2">
      <c r="A34" s="8"/>
      <c r="B34" s="7"/>
      <c r="C34" s="8"/>
      <c r="D34" s="8"/>
      <c r="E34" s="8"/>
      <c r="F34" s="8"/>
      <c r="G34" s="8"/>
      <c r="H34" s="9"/>
      <c r="I34" s="12"/>
      <c r="J34" s="12"/>
      <c r="K34" s="13"/>
      <c r="L34" s="12"/>
      <c r="M34" s="16"/>
    </row>
    <row r="35" spans="1:14" x14ac:dyDescent="0.2">
      <c r="A35" s="8"/>
      <c r="B35" s="8"/>
      <c r="C35" s="8"/>
      <c r="D35" s="8"/>
      <c r="E35" s="8"/>
      <c r="F35" s="8"/>
      <c r="G35" s="8"/>
      <c r="H35" s="10"/>
      <c r="I35" s="14" t="s">
        <v>15</v>
      </c>
      <c r="J35" s="14"/>
      <c r="K35" s="15"/>
      <c r="L35" s="14" t="s">
        <v>15</v>
      </c>
      <c r="M35" s="16"/>
    </row>
    <row r="36" spans="1:14" ht="15" x14ac:dyDescent="0.2">
      <c r="A36" s="31"/>
      <c r="B36" s="32"/>
      <c r="C36" s="33"/>
      <c r="D36" s="34"/>
      <c r="E36" s="35"/>
      <c r="F36" s="36"/>
      <c r="G36" s="37"/>
      <c r="H36" s="36"/>
      <c r="I36" s="38"/>
      <c r="J36" s="38"/>
      <c r="K36" s="39"/>
      <c r="L36" s="38"/>
      <c r="M36" s="40"/>
      <c r="N36" s="41"/>
    </row>
    <row r="37" spans="1:14" x14ac:dyDescent="0.2">
      <c r="A37" s="43"/>
      <c r="B37" s="44"/>
      <c r="C37" s="45"/>
      <c r="D37" s="43"/>
      <c r="E37" s="45"/>
      <c r="F37" s="46"/>
      <c r="G37" s="47"/>
      <c r="H37" s="48"/>
      <c r="I37" s="49"/>
      <c r="J37" s="49"/>
      <c r="K37" s="50"/>
      <c r="L37" s="51"/>
      <c r="M37" s="51"/>
      <c r="N37" s="52"/>
    </row>
  </sheetData>
  <mergeCells count="2">
    <mergeCell ref="A1:M1"/>
    <mergeCell ref="A13:M13"/>
  </mergeCells>
  <conditionalFormatting sqref="B36:L36">
    <cfRule type="containsBlanks" dxfId="10" priority="11">
      <formula>LEN(TRIM(B36))=0</formula>
    </cfRule>
  </conditionalFormatting>
  <conditionalFormatting sqref="B3:D5">
    <cfRule type="containsBlanks" dxfId="9" priority="10">
      <formula>LEN(TRIM(B3))=0</formula>
    </cfRule>
  </conditionalFormatting>
  <conditionalFormatting sqref="E3:E5">
    <cfRule type="containsBlanks" dxfId="8" priority="9">
      <formula>LEN(TRIM(E3))=0</formula>
    </cfRule>
  </conditionalFormatting>
  <conditionalFormatting sqref="F3:G5">
    <cfRule type="containsBlanks" dxfId="7" priority="8">
      <formula>LEN(TRIM(F3))=0</formula>
    </cfRule>
  </conditionalFormatting>
  <conditionalFormatting sqref="H3:I5">
    <cfRule type="containsBlanks" dxfId="6" priority="7">
      <formula>LEN(TRIM(H3))=0</formula>
    </cfRule>
  </conditionalFormatting>
  <conditionalFormatting sqref="J3:L5">
    <cfRule type="containsBlanks" dxfId="5" priority="6">
      <formula>LEN(TRIM(J3))=0</formula>
    </cfRule>
  </conditionalFormatting>
  <conditionalFormatting sqref="B15:D33">
    <cfRule type="containsBlanks" dxfId="4" priority="5">
      <formula>LEN(TRIM(B15))=0</formula>
    </cfRule>
  </conditionalFormatting>
  <conditionalFormatting sqref="F15:F33">
    <cfRule type="containsBlanks" dxfId="3" priority="4">
      <formula>LEN(TRIM(F15))=0</formula>
    </cfRule>
  </conditionalFormatting>
  <conditionalFormatting sqref="E15:E33">
    <cfRule type="containsBlanks" dxfId="2" priority="3">
      <formula>LEN(TRIM(E15))=0</formula>
    </cfRule>
  </conditionalFormatting>
  <conditionalFormatting sqref="G15:G33">
    <cfRule type="containsBlanks" dxfId="1" priority="2">
      <formula>LEN(TRIM(G15))=0</formula>
    </cfRule>
  </conditionalFormatting>
  <conditionalFormatting sqref="H15:L33">
    <cfRule type="containsBlanks" dxfId="0" priority="1">
      <formula>LEN(TRIM(H15))=0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E711-74C5-0E48-9265-51B8AB26DCAC}">
  <dimension ref="A1:F16"/>
  <sheetViews>
    <sheetView zoomScale="142" workbookViewId="0">
      <selection activeCell="B22" sqref="B22"/>
    </sheetView>
  </sheetViews>
  <sheetFormatPr baseColWidth="10" defaultRowHeight="15" x14ac:dyDescent="0.2"/>
  <cols>
    <col min="1" max="1" width="12.33203125" style="17" bestFit="1" customWidth="1"/>
    <col min="2" max="2" width="72.1640625" style="18" bestFit="1" customWidth="1"/>
    <col min="3" max="3" width="72.5" style="18" bestFit="1" customWidth="1"/>
    <col min="4" max="4" width="69.33203125" style="18" bestFit="1" customWidth="1"/>
    <col min="5" max="5" width="62.6640625" style="18" bestFit="1" customWidth="1"/>
    <col min="6" max="6" width="73.83203125" style="18" bestFit="1" customWidth="1"/>
    <col min="7" max="16384" width="10.83203125" style="18"/>
  </cols>
  <sheetData>
    <row r="1" spans="1:6" x14ac:dyDescent="0.2">
      <c r="A1" s="17" t="s">
        <v>15</v>
      </c>
    </row>
    <row r="2" spans="1:6" s="20" customFormat="1" x14ac:dyDescent="0.2">
      <c r="A2" s="19" t="s">
        <v>17</v>
      </c>
      <c r="B2" s="19" t="s">
        <v>18</v>
      </c>
      <c r="C2" s="19" t="s">
        <v>19</v>
      </c>
      <c r="D2" s="19" t="s">
        <v>20</v>
      </c>
      <c r="E2" s="19" t="s">
        <v>21</v>
      </c>
      <c r="F2" s="19" t="s">
        <v>22</v>
      </c>
    </row>
    <row r="3" spans="1:6" x14ac:dyDescent="0.2">
      <c r="A3" s="21" t="s">
        <v>23</v>
      </c>
      <c r="B3" s="22" t="s">
        <v>24</v>
      </c>
      <c r="C3" s="22" t="s">
        <v>25</v>
      </c>
      <c r="D3" s="22" t="s">
        <v>26</v>
      </c>
      <c r="E3" s="22" t="s">
        <v>27</v>
      </c>
      <c r="F3" s="22" t="s">
        <v>28</v>
      </c>
    </row>
    <row r="4" spans="1:6" x14ac:dyDescent="0.2">
      <c r="A4" s="21" t="s">
        <v>29</v>
      </c>
      <c r="B4" s="22" t="s">
        <v>30</v>
      </c>
      <c r="C4" s="22" t="s">
        <v>31</v>
      </c>
      <c r="D4" s="22" t="s">
        <v>32</v>
      </c>
      <c r="E4" s="22" t="s">
        <v>33</v>
      </c>
      <c r="F4" s="22" t="s">
        <v>34</v>
      </c>
    </row>
    <row r="5" spans="1:6" x14ac:dyDescent="0.2">
      <c r="A5" s="21" t="s">
        <v>35</v>
      </c>
      <c r="B5" s="22" t="s">
        <v>36</v>
      </c>
      <c r="C5" s="22" t="s">
        <v>37</v>
      </c>
      <c r="D5" s="22" t="s">
        <v>38</v>
      </c>
      <c r="E5" s="22" t="s">
        <v>39</v>
      </c>
      <c r="F5" s="22" t="s">
        <v>40</v>
      </c>
    </row>
    <row r="6" spans="1:6" x14ac:dyDescent="0.2">
      <c r="A6" s="21" t="s">
        <v>41</v>
      </c>
      <c r="B6" s="22" t="s">
        <v>42</v>
      </c>
      <c r="C6" s="22" t="s">
        <v>43</v>
      </c>
      <c r="D6" s="22" t="s">
        <v>44</v>
      </c>
      <c r="E6" s="22" t="s">
        <v>45</v>
      </c>
      <c r="F6" s="22" t="s">
        <v>46</v>
      </c>
    </row>
    <row r="7" spans="1:6" x14ac:dyDescent="0.2">
      <c r="A7" s="21" t="s">
        <v>47</v>
      </c>
      <c r="B7" s="22" t="s">
        <v>48</v>
      </c>
      <c r="C7" s="22" t="s">
        <v>49</v>
      </c>
      <c r="D7" s="22" t="s">
        <v>50</v>
      </c>
      <c r="E7" s="22" t="s">
        <v>51</v>
      </c>
      <c r="F7" s="22" t="s">
        <v>52</v>
      </c>
    </row>
    <row r="8" spans="1:6" x14ac:dyDescent="0.2">
      <c r="A8" s="21" t="s">
        <v>53</v>
      </c>
      <c r="B8" s="22" t="s">
        <v>54</v>
      </c>
      <c r="C8" s="22" t="s">
        <v>55</v>
      </c>
      <c r="D8" s="22" t="s">
        <v>56</v>
      </c>
      <c r="E8" s="22" t="s">
        <v>57</v>
      </c>
      <c r="F8" s="22" t="s">
        <v>58</v>
      </c>
    </row>
    <row r="9" spans="1:6" x14ac:dyDescent="0.2">
      <c r="A9" s="21" t="s">
        <v>16</v>
      </c>
      <c r="B9" s="22" t="s">
        <v>59</v>
      </c>
      <c r="C9" s="22" t="s">
        <v>60</v>
      </c>
      <c r="D9" s="22" t="s">
        <v>61</v>
      </c>
      <c r="E9" s="22" t="s">
        <v>62</v>
      </c>
      <c r="F9" s="22" t="s">
        <v>63</v>
      </c>
    </row>
    <row r="10" spans="1:6" x14ac:dyDescent="0.2">
      <c r="A10" s="21" t="s">
        <v>64</v>
      </c>
      <c r="B10" s="22" t="s">
        <v>65</v>
      </c>
      <c r="C10" s="22" t="s">
        <v>66</v>
      </c>
      <c r="D10" s="22" t="s">
        <v>67</v>
      </c>
      <c r="E10" s="22" t="s">
        <v>68</v>
      </c>
      <c r="F10" s="22" t="s">
        <v>69</v>
      </c>
    </row>
    <row r="11" spans="1:6" x14ac:dyDescent="0.2">
      <c r="A11" s="21" t="s">
        <v>70</v>
      </c>
      <c r="B11" s="22" t="s">
        <v>71</v>
      </c>
      <c r="C11" s="22" t="s">
        <v>72</v>
      </c>
      <c r="D11" s="22" t="s">
        <v>73</v>
      </c>
      <c r="E11" s="22" t="s">
        <v>74</v>
      </c>
      <c r="F11" s="22" t="s">
        <v>75</v>
      </c>
    </row>
    <row r="12" spans="1:6" x14ac:dyDescent="0.2">
      <c r="A12" s="21" t="s">
        <v>76</v>
      </c>
      <c r="B12" s="22" t="s">
        <v>77</v>
      </c>
      <c r="C12" s="22" t="s">
        <v>78</v>
      </c>
      <c r="D12" s="22" t="s">
        <v>79</v>
      </c>
      <c r="E12" s="22" t="s">
        <v>80</v>
      </c>
      <c r="F12" s="22" t="s">
        <v>81</v>
      </c>
    </row>
    <row r="13" spans="1:6" x14ac:dyDescent="0.2">
      <c r="A13" s="21" t="s">
        <v>82</v>
      </c>
      <c r="B13" s="22" t="s">
        <v>83</v>
      </c>
      <c r="C13" s="22" t="s">
        <v>84</v>
      </c>
      <c r="D13" s="22" t="s">
        <v>85</v>
      </c>
      <c r="E13" s="22" t="s">
        <v>86</v>
      </c>
      <c r="F13" s="22" t="s">
        <v>87</v>
      </c>
    </row>
    <row r="14" spans="1:6" x14ac:dyDescent="0.2">
      <c r="A14" s="21" t="s">
        <v>88</v>
      </c>
      <c r="B14" s="22" t="s">
        <v>89</v>
      </c>
      <c r="C14" s="22" t="s">
        <v>90</v>
      </c>
      <c r="D14" s="22" t="s">
        <v>91</v>
      </c>
      <c r="E14" s="22" t="s">
        <v>92</v>
      </c>
      <c r="F14" s="22" t="s">
        <v>93</v>
      </c>
    </row>
    <row r="15" spans="1:6" x14ac:dyDescent="0.2">
      <c r="A15" s="21" t="s">
        <v>94</v>
      </c>
      <c r="B15" s="22" t="s">
        <v>95</v>
      </c>
      <c r="C15" s="22" t="s">
        <v>96</v>
      </c>
      <c r="D15" s="22" t="s">
        <v>97</v>
      </c>
      <c r="E15" s="22" t="s">
        <v>98</v>
      </c>
      <c r="F15" s="22" t="s">
        <v>99</v>
      </c>
    </row>
    <row r="16" spans="1:6" x14ac:dyDescent="0.2">
      <c r="A16" s="21" t="s">
        <v>100</v>
      </c>
      <c r="B16" s="22" t="s">
        <v>101</v>
      </c>
      <c r="C16" s="22" t="s">
        <v>102</v>
      </c>
      <c r="D16" s="22" t="s">
        <v>103</v>
      </c>
      <c r="E16" s="22" t="s">
        <v>104</v>
      </c>
      <c r="F16" s="2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PPN</vt:lpstr>
      <vt:lpstr>Petunjuk (Guideline)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JTC</dc:creator>
  <cp:lastModifiedBy>Seungryul Lee</cp:lastModifiedBy>
  <dcterms:created xsi:type="dcterms:W3CDTF">2021-03-22T03:39:08Z</dcterms:created>
  <dcterms:modified xsi:type="dcterms:W3CDTF">2026-06-20T11:53:37Z</dcterms:modified>
</cp:coreProperties>
</file>