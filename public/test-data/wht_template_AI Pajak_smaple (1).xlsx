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Documents/4. AI Pajak/templates/"/>
    </mc:Choice>
  </mc:AlternateContent>
  <xr:revisionPtr revIDLastSave="0" documentId="13_ncr:1_{875A846B-F24E-BB42-B5F4-41A5E778B7E7}" xr6:coauthVersionLast="47" xr6:coauthVersionMax="47" xr10:uidLastSave="{00000000-0000-0000-0000-000000000000}"/>
  <bookViews>
    <workbookView xWindow="520" yWindow="1840" windowWidth="33680" windowHeight="19080" xr2:uid="{C48A3DAF-A91A-45BA-945F-BDC40FC186DD}"/>
  </bookViews>
  <sheets>
    <sheet name="WHT" sheetId="1" r:id="rId1"/>
    <sheet name="Petunjuk (Guideline)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O5" i="1"/>
  <c r="R4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<sst xmlns="http://schemas.openxmlformats.org/spreadsheetml/2006/main" count="227" uniqueCount="202">
  <si>
    <t>TAX COMPLIANCE</t>
  </si>
  <si>
    <t>NO</t>
  </si>
  <si>
    <t>NOTES</t>
  </si>
  <si>
    <t>ALAMAT 
(ADDRESS)</t>
  </si>
  <si>
    <t>NPWP
(TAX ID)</t>
  </si>
  <si>
    <t>NAMA
(NAME)</t>
  </si>
  <si>
    <t>DESKRIPSI TRANSAKSI
(TRANSACTION DESCRIPTION)</t>
  </si>
  <si>
    <t>NO. INVOICE
(INVOICE NO.)</t>
  </si>
  <si>
    <t>NO. FAKTUR PAJAK
(TAX INVOICE NO.)</t>
  </si>
  <si>
    <t>DATA PERUSAHAAN/ COMPANY DATA</t>
  </si>
  <si>
    <t>DATA INVOICE &amp; FAKTUR PAJAK</t>
  </si>
  <si>
    <t>DATA TANGGAL/ DATE DATA</t>
  </si>
  <si>
    <t>TGL JTH TEMPO INV
(INVOICE DUE DATE)</t>
  </si>
  <si>
    <t>TGL PEMBAYARAN
(PAYMENT DATE)</t>
  </si>
  <si>
    <t>DPP PPN
(VAT BASE)</t>
  </si>
  <si>
    <t>DPP PIHAK KETIGA
(WHT BASE)</t>
  </si>
  <si>
    <t>BIAYA MATERAI</t>
  </si>
  <si>
    <t>BIAYA LAIN-LAIN</t>
  </si>
  <si>
    <t>TIPE TRANSAKSI (TYPE OF TRANSACTION)</t>
  </si>
  <si>
    <t>PPh 4 AYAT 2 
SEWA TNH &amp; BANGUNAN
(RENT LAND &amp; BUILDING)</t>
  </si>
  <si>
    <t>PPN
(VAT)</t>
  </si>
  <si>
    <t>TGL INVOICE/ FAKTUR PAJAK
(INVOICE/ TAX INVOICE DATE)</t>
  </si>
  <si>
    <t>NOMINAL ATAS RINCIAN TRANSAKSI YANG TERTERA DI INVOICE</t>
  </si>
  <si>
    <t xml:space="preserve"> JUMLAH YANG DIBAYARKAN KE VENDOR 
(TO BE PAID TO VENDOR)</t>
  </si>
  <si>
    <t>PPh 21/23/26 : 
JASA/ SEWA 
 ( SERVICE/ RENT)</t>
  </si>
  <si>
    <t>PPh 21/23/26 
&amp;
 PPh 4(2)
YANG  DI INVOICE</t>
  </si>
  <si>
    <t>Jakarta Tax Consulting</t>
  </si>
  <si>
    <t>Column / Bagian</t>
  </si>
  <si>
    <t>Indonesia</t>
  </si>
  <si>
    <t>English</t>
  </si>
  <si>
    <t>한국어</t>
  </si>
  <si>
    <t>中文</t>
  </si>
  <si>
    <t>日本語</t>
  </si>
  <si>
    <t>Nomor urut transaksi. Isi 1, 2, 3, dan seterusnya.</t>
  </si>
  <si>
    <t>Transaction sequence number. Enter 1, 2, 3, etc.</t>
  </si>
  <si>
    <t>거래 순번입니다. 1, 2, 3 순서로 입력합니다.</t>
  </si>
  <si>
    <t>交易序号。填写 1、2、3 等。</t>
  </si>
  <si>
    <t>取引の通し番号です。1、2、3の順に入力します。</t>
  </si>
  <si>
    <t>ALAMAT / ADDRESS</t>
  </si>
  <si>
    <t>Alamat vendor atau lawan transaksi sesuai invoice atau data NPWP.</t>
  </si>
  <si>
    <t>Vendor or counterparty address according to invoice or NPWP data.</t>
  </si>
  <si>
    <t>거래처 또는 공급자의 주소입니다. Invoice 또는 NPWP 자료 기준으로 입력합니다.</t>
  </si>
  <si>
    <t>供应商或交易对方地址。根据发票或 NPWP 资料填写。</t>
  </si>
  <si>
    <t>仕入先または取引先の住所です。インボイスまたはNPWP情報に基づいて入力します。</t>
  </si>
  <si>
    <t>NAMA / NAME</t>
  </si>
  <si>
    <t>Nama vendor atau lawan transaksi.</t>
  </si>
  <si>
    <t>Vendor or counterparty name.</t>
  </si>
  <si>
    <t>거래처 또는 공급자 이름입니다.</t>
  </si>
  <si>
    <t>供应商或交易对方名称。</t>
  </si>
  <si>
    <t>仕入先または取引先名です。</t>
  </si>
  <si>
    <t>NPWP / TAX ID</t>
  </si>
  <si>
    <t>NPWP vendor atau lawan transaksi.</t>
  </si>
  <si>
    <t>Vendor or counterparty tax ID number.</t>
  </si>
  <si>
    <t>거래처 또는 공급자의 NPWP 세금번호입니다.</t>
  </si>
  <si>
    <t>供应商或交易对方的税号 NPWP。</t>
  </si>
  <si>
    <t>仕入先または取引先の税務番号NPWPです。</t>
  </si>
  <si>
    <t>DESKRIPSI TRANSAKSI / TRANSACTION DESCRIPTION</t>
  </si>
  <si>
    <t>Penjelasan singkat atas transaksi. Contoh: Monthly Compliance Services October 2025.</t>
  </si>
  <si>
    <t>Brief description of the transaction. Example: Monthly Compliance Services October 2025.</t>
  </si>
  <si>
    <t>거래 내용 설명입니다. 예: 2025년 10월 월간 세무관리 서비스.</t>
  </si>
  <si>
    <t>交易内容简要说明。例如：2025年10月月度税务服务。</t>
  </si>
  <si>
    <t>取引内容の簡単な説明です。例：2025年10月月次税務サービス。</t>
  </si>
  <si>
    <t>NO. INVOICE / INVOICE NO.</t>
  </si>
  <si>
    <t>Nomor invoice dari vendor.</t>
  </si>
  <si>
    <t>Invoice number issued by the vendor.</t>
  </si>
  <si>
    <t>거래처가 발행한 Invoice 번호입니다.</t>
  </si>
  <si>
    <t>供应商开具的发票号码。</t>
  </si>
  <si>
    <t>仕入先が発行したインボイス番号です。</t>
  </si>
  <si>
    <t>NO. FAKTUR PAJAK / TAX INVOICE NO.</t>
  </si>
  <si>
    <t>Nomor Faktur Pajak jika ada PPN. Jika tidak ada, isi “-”.</t>
  </si>
  <si>
    <t>Tax invoice number if VAT applies. If not available, enter “-”.</t>
  </si>
  <si>
    <t>PPN이 있는 경우 Faktur Pajak 번호를 입력합니다. 없으면 “-”를 입력합니다.</t>
  </si>
  <si>
    <t>如有增值税，填写税务发票号码。如无，填写“-”。</t>
  </si>
  <si>
    <t>VATがある場合は税務インボイス番号を入力します。ない場合は「-」を入力します。</t>
  </si>
  <si>
    <t>TGL INVOICE / FAKTUR PAJAK</t>
  </si>
  <si>
    <t>Tanggal invoice atau tanggal Faktur Pajak. Gunakan format DD/MM/YY atau YYYY-MM-DD secara konsisten.</t>
  </si>
  <si>
    <t>Invoice date or tax invoice date. Use DD/MM/YY or YYYY-MM-DD consistently.</t>
  </si>
  <si>
    <t>Invoice 또는 Faktur Pajak 발행일입니다. DD/MM/YY 또는 YYYY-MM-DD 형식으로 통일합니다.</t>
  </si>
  <si>
    <t>发票或税务发票日期。请统一使用 DD/MM/YY 或 YYYY-MM-DD 格式。</t>
  </si>
  <si>
    <t>インボイスまたは税務インボイスの日付です。DD/MM/YYまたはYYYY-MM-DDで統一します。</t>
  </si>
  <si>
    <t>TGL JTH TEMPO INV / INVOICE DUE DATE</t>
  </si>
  <si>
    <t>Tanggal jatuh tempo pembayaran invoice.</t>
  </si>
  <si>
    <t>Due date for invoice payment.</t>
  </si>
  <si>
    <t>Invoice 지급기한입니다.</t>
  </si>
  <si>
    <t>发票付款到期日。</t>
  </si>
  <si>
    <t>インボイスの支払期限です。</t>
  </si>
  <si>
    <t>TGL PEMBAYARAN / PAYMENT DATE</t>
  </si>
  <si>
    <t>Tanggal pembayaran dilakukan kepada vendor. Jika belum dibayar, kosongkan.</t>
  </si>
  <si>
    <t>Actual payment date to vendor. Leave blank if unpaid.</t>
  </si>
  <si>
    <t>거래처에 실제 지급한 날짜입니다. 아직 지급하지 않았으면 비워둡니다.</t>
  </si>
  <si>
    <t>实际付款给供应商的日期。如尚未付款，请留空。</t>
  </si>
  <si>
    <t>仕入先への実際の支払日です。未払いの場合は空欄にします。</t>
  </si>
  <si>
    <t>PPh 21/23/26: JASA / SEWA</t>
  </si>
  <si>
    <t>Pilih jenis transaksi jasa atau sewa yang dikenakan PPh 21/23/26. Contoh: Jasa, Sewa, Royalti.</t>
  </si>
  <si>
    <t>Select service or rental transaction subject to PPh 21/23/26. Example: Service, Rent, Royalty.</t>
  </si>
  <si>
    <t>PPh 21/23/26 원천세 대상인 서비스 또는 임대 거래 유형을 입력합니다. 예: Jasa, Sewa.</t>
  </si>
  <si>
    <t>填写适用 PPh 21/23/26 的服务或租赁交易类型。例如：服务、租赁。</t>
  </si>
  <si>
    <t>PPh 21/23/26の対象となるサービスまたは賃貸取引の種類を入力します。例：サービス、賃貸。</t>
  </si>
  <si>
    <t>PPh 4 AYAT 2 SEWA TANAH &amp; BANGUNAN</t>
  </si>
  <si>
    <t>Isi jika transaksi adalah sewa tanah dan/atau bangunan yang dikenakan PPh Final Pasal 4(2). Jika tidak, isi “-”.</t>
  </si>
  <si>
    <t>Fill in if the transaction is land and/or building rent subject to final tax PPh Article 4(2). Otherwise enter “-”.</t>
  </si>
  <si>
    <t>토지 및 건물 임대 거래로 PPh Final 4(2) 대상인 경우 입력합니다. 아니면 “-”를 입력합니다.</t>
  </si>
  <si>
    <t>如交易为土地和/或建筑物租赁并适用最终税 PPh 4(2)，请填写。否则填写“-”。</t>
  </si>
  <si>
    <t>土地および建物の賃貸でPPh Final 4(2)の対象となる場合に入力します。該当しない場合は「-」を入力します。</t>
  </si>
  <si>
    <t>DPP PPN / VAT BASE</t>
  </si>
  <si>
    <t>Dasar pengenaan PPN. Isi nilai sebelum PPN jika transaksi dikenakan PPN.</t>
  </si>
  <si>
    <t>VAT base. Enter the amount before VAT if VAT applies.</t>
  </si>
  <si>
    <t>PPN 계산 기준금액입니다. PPN 대상 거래이면 세전 금액을 입력합니다.</t>
  </si>
  <si>
    <t>增值税计税基础。如交易适用增值税，填写不含税金额。</t>
  </si>
  <si>
    <t>VAT計算の基礎金額です。VAT対象取引の場合は税抜金額を入力します。</t>
  </si>
  <si>
    <t>PPN / VAT</t>
  </si>
  <si>
    <t>Nilai PPN yang tercantum di Faktur Pajak. Jika tidak ada PPN, isi 0 atau “-”.</t>
  </si>
  <si>
    <t>VAT amount shown on the tax invoice. If there is no VAT, enter 0 or “-”.</t>
  </si>
  <si>
    <t>Faktur Pajak에 표시된 PPN 금액입니다. PPN이 없으면 0 또는 “-”를 입력합니다.</t>
  </si>
  <si>
    <t>税务发票上显示的增值税金额。如无增值税，填写 0 或“-”。</t>
  </si>
  <si>
    <t>税務インボイスに記載されたVAT金額です。VATがない場合は0または「-」を入力します。</t>
  </si>
  <si>
    <t>DPP PIHAK KETIGA / WHT BASE</t>
  </si>
  <si>
    <t>Dasar pemotongan PPh. Biasanya nilai jasa/sewa sebelum PPh dipotong.</t>
  </si>
  <si>
    <t>Withholding tax base. Usually the service or rent value before WHT deduction.</t>
  </si>
  <si>
    <t>원천세 계산 기준금액입니다. 보통 원천세 차감 전 서비스/임대 금액입니다.</t>
  </si>
  <si>
    <t>预提税计税基础。通常为扣税前的服务或租赁金额。</t>
  </si>
  <si>
    <t>源泉税の計算基礎額です。通常は源泉税控除前のサービス・賃貸金額です。</t>
  </si>
  <si>
    <t>PPh 21/23/26 &amp; PPh 4(2) YANG DI INVOICE</t>
  </si>
  <si>
    <t>Jumlah PPh yang dipotong dari tagihan vendor. Nilai ini tidak dibayarkan ke vendor, tetapi disetor sebagai pajak.</t>
  </si>
  <si>
    <t>WHT amount deducted from the vendor invoice. This amount is not paid to the vendor but deposited as tax.</t>
  </si>
  <si>
    <t>거래처 지급액에서 차감되는 원천세 금액입니다. 이 금액은 거래처에 지급하지 않고 세금으로 납부합니다.</t>
  </si>
  <si>
    <t>从供应商发票中扣除的预提税金额。该金额不支付给供应商，而是作为税款缴纳。</t>
  </si>
  <si>
    <t>仕入先請求額から控除される源泉税額です。この金額は仕入先に支払わず、税金として納付します。</t>
  </si>
  <si>
    <t>Biaya meterai jika ada. Jika tidak ada, isi 0 atau “-”.</t>
  </si>
  <si>
    <t>Stamp duty cost, if any. If none, enter 0 or “-”.</t>
  </si>
  <si>
    <t>인지세 비용입니다. 없으면 0 또는 “-”를 입력합니다.</t>
  </si>
  <si>
    <t>印花税费用。如无，填写 0 或“-”。</t>
  </si>
  <si>
    <t>印紙税費用です。ない場合は0または「-」を入力します。</t>
  </si>
  <si>
    <t>Biaya tambahan lain yang harus dibayarkan kepada vendor, jika ada.</t>
  </si>
  <si>
    <t>Other additional costs payable to the vendor, if any.</t>
  </si>
  <si>
    <t>거래처에 추가로 지급해야 하는 기타 비용입니다.</t>
  </si>
  <si>
    <t>需支付给供应商的其他附加费用。</t>
  </si>
  <si>
    <t>仕入先へ追加で支払うその他費用です。</t>
  </si>
  <si>
    <t>JUMLAH YANG DIBAYARKAN KE VENDOR / TO BE PAID TO VENDOR</t>
  </si>
  <si>
    <t>Jumlah bersih yang dibayarkan ke vendor setelah dikurangi PPh dan ditambah PPN/biaya lain jika ada.</t>
  </si>
  <si>
    <t>Net amount payable to the vendor after deducting WHT and adding VAT/other costs if applicable.</t>
  </si>
  <si>
    <t>원천세를 차감하고 PPN 및 기타비용을 반영한 후 거래처에 실제 지급할 금액입니다.</t>
  </si>
  <si>
    <t>扣除预提税并加上增值税/其他费用后的实际应付供应商金额。</t>
  </si>
  <si>
    <t>源泉税を控除し、VATやその他費用を加味した後、仕入先に実際に支払う金額です。</t>
  </si>
  <si>
    <t>Catatan tambahan. Contoh: belum dibayar, menunggu Faktur Pajak, revisi invoice, NPWP belum valid.</t>
  </si>
  <si>
    <t>Additional notes. Example: unpaid, waiting for tax invoice, revised invoice, invalid NPWP.</t>
  </si>
  <si>
    <t>추가 메모입니다. 예: 미지급, Faktur Pajak 대기, Invoice 수정, NPWP 확인 필요.</t>
  </si>
  <si>
    <t>补充说明。例如：未付款、等待税务发票、发票修正、NPWP 待确认。</t>
  </si>
  <si>
    <t>追加メモです。例：未払い、税務インボイス待ち、インボイス修正、NPWP確認中。</t>
  </si>
  <si>
    <t>Gaji April 2026</t>
  </si>
  <si>
    <t>001</t>
  </si>
  <si>
    <t>002</t>
  </si>
  <si>
    <t>003</t>
  </si>
  <si>
    <t>004</t>
  </si>
  <si>
    <t>005</t>
  </si>
  <si>
    <t>0912182128015000</t>
  </si>
  <si>
    <t>Jl. Rini No. 12C RT006/RW002 Kel. Ragunan, Kec. Pasar Minggu Kota Administrasi Jakarta Selatan DKI Jakarta 12540 Indonesia</t>
  </si>
  <si>
    <t>Monthly Compliance Services March 2026</t>
  </si>
  <si>
    <t>JTC/2026/04/00017</t>
  </si>
  <si>
    <t>PT Telekomunikasi Indonesia Tbk</t>
  </si>
  <si>
    <t>0017183278093000</t>
  </si>
  <si>
    <t>Gedung Telkom Landmark Tower Menara 1 Lt. 1-20 Jl. Jend. Gatot Subroto Kav. 52 Kuningan Barat, Jakarta Selatan</t>
  </si>
  <si>
    <t>Pembayaran Internet dan Telpon Period April 2026</t>
  </si>
  <si>
    <t>26040900456620</t>
  </si>
  <si>
    <t>SAGA PRIMA MANDIRI</t>
  </si>
  <si>
    <t>0314541939122000</t>
  </si>
  <si>
    <t>RUKO BOULEVARD JL TEKNO WIDYA AA NO.09, RT 000, RW 000, LENGKONG GUDANG, SERPONG, KOTA TANGERANG SELATAN, BANTEN 15311</t>
  </si>
  <si>
    <t>Jasa Pindahan Kantor</t>
  </si>
  <si>
    <t>043/SPM/04/2026</t>
  </si>
  <si>
    <t>PT SELARAS MULTI CIPTA</t>
  </si>
  <si>
    <t>0019970045013000</t>
  </si>
  <si>
    <t>JL BARU I NO.1, RT 010, RW 003, KEBAYORAN LAMA UTARA, KEBAYORAN LAMA, KOTA ADM. JAKARTA SELATAN, DKI JAKARTA 12240</t>
  </si>
  <si>
    <t>Sticker Vynil + kiss cut</t>
  </si>
  <si>
    <t>2026/26.04.10737</t>
  </si>
  <si>
    <t>BELINKEN GUNDALING</t>
  </si>
  <si>
    <t>0033301516404000</t>
  </si>
  <si>
    <t>JL. MAYJEND ISHAK DJUARSA NO. 100 GUNUNG BATU</t>
  </si>
  <si>
    <t>Buku</t>
  </si>
  <si>
    <t>INV202604200161 - CBG</t>
  </si>
  <si>
    <t>Buku Menu Yongdaeri</t>
  </si>
  <si>
    <t>INV 202604240372 - CBG</t>
  </si>
  <si>
    <t>Buku Menu Yongdaeri tambahan</t>
  </si>
  <si>
    <t>INV202604280041 - CBG</t>
  </si>
  <si>
    <t>stiker MGH</t>
  </si>
  <si>
    <t>INV202604280098 - CBG</t>
  </si>
  <si>
    <t>Abdul Halim</t>
  </si>
  <si>
    <t>3206242809960001</t>
  </si>
  <si>
    <t>Jakarta</t>
  </si>
  <si>
    <t>Saepudin</t>
  </si>
  <si>
    <t>3206242205970001</t>
  </si>
  <si>
    <t>Yudhi Wuryanto</t>
  </si>
  <si>
    <t>3671132512800001</t>
  </si>
  <si>
    <t>Ahmad Fauzi</t>
  </si>
  <si>
    <t>3674062706870023</t>
  </si>
  <si>
    <t>Sukandar</t>
  </si>
  <si>
    <t>3206242002890003</t>
  </si>
  <si>
    <t>PT Bintang Jaya Solution</t>
  </si>
  <si>
    <t>75.156.278.6-013.000</t>
  </si>
  <si>
    <t>Jl. Cileduk Raya, Cipulir Kebayoran Lama, Kota Adm. Jakarta Selatan, Dki Jakarta 12230</t>
  </si>
  <si>
    <t>Overpaid PPh 21 Prior Period</t>
  </si>
  <si>
    <t>30/04/2026</t>
  </si>
  <si>
    <t>Angsuran PPh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</si>
</sst>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5" formatCode="_(* #,##0_);_(* \(#,##0\);_(* &quot;-&quot;??_);_(@_)"/>
    <numFmt numFmtId="167" formatCode="000"/>
  </numFmts>
  <fonts count="19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9"/>
      <color theme="1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Calibri"/>
      <family val="2"/>
      <charset val="129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8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D961"/>
        <bgColor indexed="64"/>
      </patternFill>
    </fill>
    <fill>
      <patternFill patternType="solid">
        <fgColor rgb="FF9FF3F5"/>
        <bgColor indexed="64"/>
      </patternFill>
    </fill>
    <fill>
      <patternFill patternType="solid">
        <fgColor rgb="FFE2B2D5"/>
        <bgColor indexed="64"/>
      </patternFill>
    </fill>
    <fill>
      <patternFill patternType="solid">
        <fgColor rgb="FFFBD1D7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10">
    <xf numFmtId="0" fontId="0" fillId="0" borderId="0"/>
    <xf numFmtId="0" fontId="2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>
      <alignment vertical="center"/>
    </xf>
    <xf numFmtId="0" fontId="3" fillId="0" borderId="0"/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4">
    <xf numFmtId="0" fontId="0" fillId="0" borderId="0" xfId="0"/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41" fontId="8" fillId="3" borderId="1" xfId="1" applyNumberFormat="1" applyFont="1" applyFill="1" applyBorder="1" applyAlignment="1">
      <alignment horizontal="center" vertical="center" wrapText="1"/>
    </xf>
    <xf numFmtId="41" fontId="8" fillId="0" borderId="1" xfId="3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2" quotePrefix="1" applyFont="1" applyBorder="1" applyAlignment="1">
      <alignment horizontal="center" vertical="center" wrapText="1"/>
    </xf>
    <xf numFmtId="14" fontId="8" fillId="0" borderId="1" xfId="1" applyNumberFormat="1" applyFont="1" applyBorder="1" applyAlignment="1">
      <alignment horizontal="center" vertical="center" wrapText="1"/>
    </xf>
    <xf numFmtId="41" fontId="9" fillId="0" borderId="1" xfId="3" applyFont="1" applyFill="1" applyBorder="1" applyAlignment="1">
      <alignment horizontal="center" vertical="center" wrapText="1"/>
    </xf>
    <xf numFmtId="41" fontId="6" fillId="0" borderId="1" xfId="2" applyNumberFormat="1" applyFont="1" applyBorder="1" applyAlignment="1">
      <alignment horizontal="center"/>
    </xf>
    <xf numFmtId="14" fontId="10" fillId="0" borderId="1" xfId="1" applyNumberFormat="1" applyFont="1" applyBorder="1" applyAlignment="1">
      <alignment horizontal="center" vertical="center" wrapText="1"/>
    </xf>
    <xf numFmtId="41" fontId="11" fillId="0" borderId="1" xfId="3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/>
    </xf>
    <xf numFmtId="14" fontId="12" fillId="0" borderId="1" xfId="1" applyNumberFormat="1" applyFont="1" applyBorder="1" applyAlignment="1">
      <alignment horizontal="center" vertical="center" wrapText="1"/>
    </xf>
    <xf numFmtId="41" fontId="12" fillId="0" borderId="1" xfId="3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9" fillId="0" borderId="1" xfId="2" quotePrefix="1" applyFont="1" applyBorder="1" applyAlignment="1">
      <alignment horizontal="center" vertical="center" wrapText="1"/>
    </xf>
    <xf numFmtId="0" fontId="12" fillId="0" borderId="1" xfId="1" quotePrefix="1" applyFont="1" applyBorder="1" applyAlignment="1">
      <alignment horizontal="center" vertical="center" wrapText="1"/>
    </xf>
    <xf numFmtId="41" fontId="8" fillId="0" borderId="1" xfId="3" applyFont="1" applyFill="1" applyBorder="1" applyAlignment="1">
      <alignment horizontal="center" vertical="center" wrapText="1"/>
    </xf>
    <xf numFmtId="0" fontId="8" fillId="0" borderId="1" xfId="1" quotePrefix="1" applyFont="1" applyBorder="1" applyAlignment="1">
      <alignment horizontal="center" vertical="center" wrapText="1"/>
    </xf>
    <xf numFmtId="41" fontId="12" fillId="0" borderId="1" xfId="2" applyNumberFormat="1" applyFont="1" applyBorder="1" applyAlignment="1">
      <alignment horizontal="center"/>
    </xf>
    <xf numFmtId="0" fontId="12" fillId="0" borderId="1" xfId="2" quotePrefix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wrapText="1"/>
    </xf>
    <xf numFmtId="0" fontId="6" fillId="3" borderId="1" xfId="2" applyFont="1" applyFill="1" applyBorder="1" applyAlignment="1">
      <alignment horizontal="center" wrapText="1"/>
    </xf>
    <xf numFmtId="0" fontId="6" fillId="3" borderId="1" xfId="2" applyFont="1" applyFill="1" applyBorder="1" applyAlignment="1">
      <alignment horizontal="center" vertical="center" wrapText="1"/>
    </xf>
    <xf numFmtId="41" fontId="8" fillId="3" borderId="1" xfId="3" applyFont="1" applyFill="1" applyBorder="1" applyAlignment="1">
      <alignment horizontal="center" vertical="center" wrapText="1"/>
    </xf>
    <xf numFmtId="41" fontId="8" fillId="0" borderId="1" xfId="8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2" fillId="0" borderId="3" xfId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4" fontId="10" fillId="0" borderId="4" xfId="1" applyNumberFormat="1" applyFont="1" applyBorder="1" applyAlignment="1">
      <alignment horizontal="center" vertical="center" wrapText="1"/>
    </xf>
    <xf numFmtId="41" fontId="8" fillId="3" borderId="4" xfId="1" applyNumberFormat="1" applyFont="1" applyFill="1" applyBorder="1" applyAlignment="1">
      <alignment horizontal="center" vertical="center" wrapText="1"/>
    </xf>
    <xf numFmtId="41" fontId="11" fillId="0" borderId="4" xfId="3" applyFont="1" applyFill="1" applyBorder="1" applyAlignment="1">
      <alignment horizontal="center" vertical="center" wrapText="1"/>
    </xf>
    <xf numFmtId="41" fontId="10" fillId="0" borderId="4" xfId="3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/>
    </xf>
    <xf numFmtId="0" fontId="6" fillId="0" borderId="2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41" fontId="8" fillId="3" borderId="2" xfId="1" applyNumberFormat="1" applyFont="1" applyFill="1" applyBorder="1" applyAlignment="1">
      <alignment horizontal="center" vertical="center" wrapText="1"/>
    </xf>
    <xf numFmtId="0" fontId="7" fillId="0" borderId="2" xfId="2" quotePrefix="1" applyFont="1" applyBorder="1" applyAlignment="1">
      <alignment horizontal="center" vertical="center" wrapText="1"/>
    </xf>
    <xf numFmtId="41" fontId="10" fillId="0" borderId="2" xfId="3" applyFont="1" applyBorder="1" applyAlignment="1">
      <alignment horizontal="center" vertical="center" wrapText="1"/>
    </xf>
    <xf numFmtId="14" fontId="10" fillId="0" borderId="2" xfId="1" applyNumberFormat="1" applyFont="1" applyBorder="1" applyAlignment="1">
      <alignment horizontal="center" vertical="center" wrapText="1"/>
    </xf>
    <xf numFmtId="41" fontId="11" fillId="0" borderId="2" xfId="3" applyFont="1" applyFill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/>
    </xf>
    <xf numFmtId="14" fontId="12" fillId="0" borderId="2" xfId="1" applyNumberFormat="1" applyFont="1" applyBorder="1" applyAlignment="1">
      <alignment horizontal="center" vertical="center" wrapText="1"/>
    </xf>
    <xf numFmtId="41" fontId="12" fillId="0" borderId="2" xfId="3" applyFont="1" applyFill="1" applyBorder="1" applyAlignment="1">
      <alignment horizontal="center" vertical="center" wrapText="1"/>
    </xf>
    <xf numFmtId="41" fontId="12" fillId="0" borderId="2" xfId="3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4" fillId="0" borderId="0" xfId="0" applyFont="1"/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7" fillId="8" borderId="2" xfId="2" applyFont="1" applyFill="1" applyBorder="1" applyAlignment="1">
      <alignment horizontal="center" vertical="center" wrapText="1"/>
    </xf>
    <xf numFmtId="0" fontId="17" fillId="4" borderId="2" xfId="2" applyFont="1" applyFill="1" applyBorder="1" applyAlignment="1">
      <alignment horizontal="center" vertical="center" wrapText="1"/>
    </xf>
    <xf numFmtId="0" fontId="17" fillId="5" borderId="2" xfId="2" applyFont="1" applyFill="1" applyBorder="1" applyAlignment="1">
      <alignment horizontal="center" vertical="center" wrapText="1"/>
    </xf>
    <xf numFmtId="0" fontId="17" fillId="6" borderId="2" xfId="2" applyFont="1" applyFill="1" applyBorder="1" applyAlignment="1">
      <alignment horizontal="center" vertical="center" wrapText="1"/>
    </xf>
    <xf numFmtId="0" fontId="17" fillId="7" borderId="2" xfId="2" applyFont="1" applyFill="1" applyBorder="1" applyAlignment="1">
      <alignment horizontal="center" vertical="center" wrapText="1"/>
    </xf>
    <xf numFmtId="41" fontId="17" fillId="7" borderId="2" xfId="3" applyFont="1" applyFill="1" applyBorder="1" applyAlignment="1">
      <alignment horizontal="center" vertical="center" wrapText="1"/>
    </xf>
    <xf numFmtId="41" fontId="18" fillId="7" borderId="2" xfId="3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0" fillId="0" borderId="2" xfId="0" applyBorder="1"/>
    <xf numFmtId="0" fontId="13" fillId="2" borderId="2" xfId="2" applyFont="1" applyFill="1" applyBorder="1" applyAlignment="1">
      <alignment horizontal="center" vertical="center"/>
    </xf>
    <xf numFmtId="0" fontId="13" fillId="8" borderId="2" xfId="2" applyFont="1" applyFill="1" applyBorder="1" applyAlignment="1">
      <alignment horizontal="center" vertical="center"/>
    </xf>
    <xf numFmtId="0" fontId="13" fillId="7" borderId="2" xfId="2" applyFont="1" applyFill="1" applyBorder="1" applyAlignment="1">
      <alignment horizontal="center" vertical="center"/>
    </xf>
    <xf numFmtId="0" fontId="13" fillId="4" borderId="2" xfId="2" applyFont="1" applyFill="1" applyBorder="1" applyAlignment="1">
      <alignment horizontal="center" vertical="center"/>
    </xf>
    <xf numFmtId="0" fontId="13" fillId="6" borderId="2" xfId="2" applyFont="1" applyFill="1" applyBorder="1" applyAlignment="1">
      <alignment horizontal="center" vertical="center"/>
    </xf>
    <xf numFmtId="41" fontId="17" fillId="9" borderId="2" xfId="3" applyFont="1" applyFill="1" applyBorder="1" applyAlignment="1">
      <alignment horizontal="center" vertical="center" wrapText="1"/>
    </xf>
    <xf numFmtId="41" fontId="17" fillId="2" borderId="2" xfId="3" applyFont="1" applyFill="1" applyBorder="1" applyAlignment="1">
      <alignment horizontal="center" vertical="center"/>
    </xf>
    <xf numFmtId="0" fontId="17" fillId="2" borderId="2" xfId="2" applyFont="1" applyFill="1" applyBorder="1" applyAlignment="1">
      <alignment horizontal="center" vertical="center"/>
    </xf>
    <xf numFmtId="0" fontId="13" fillId="5" borderId="2" xfId="2" applyFont="1" applyFill="1" applyBorder="1" applyAlignment="1">
      <alignment horizontal="center" vertical="center"/>
    </xf>
    <xf numFmtId="0" fontId="1" fillId="0" borderId="0" xfId="2"/>
    <xf numFmtId="0" fontId="3" fillId="0" borderId="0" xfId="2" applyFont="1"/>
    <xf numFmtId="14" fontId="3" fillId="0" borderId="0" xfId="2" applyNumberFormat="1" applyFont="1"/>
    <xf numFmtId="0" fontId="6" fillId="0" borderId="3" xfId="0" applyFont="1" applyBorder="1" applyAlignment="1">
      <alignment horizontal="center"/>
    </xf>
    <xf numFmtId="41" fontId="3" fillId="0" borderId="2" xfId="3" quotePrefix="1" applyFont="1" applyFill="1" applyBorder="1"/>
    <xf numFmtId="0" fontId="3" fillId="0" borderId="2" xfId="3" quotePrefix="1" applyNumberFormat="1" applyFont="1" applyFill="1" applyBorder="1"/>
    <xf numFmtId="41" fontId="0" fillId="0" borderId="2" xfId="3" quotePrefix="1" applyFont="1" applyFill="1" applyBorder="1"/>
    <xf numFmtId="0" fontId="0" fillId="0" borderId="2" xfId="3" quotePrefix="1" applyNumberFormat="1" applyFont="1" applyFill="1" applyBorder="1"/>
    <xf numFmtId="0" fontId="3" fillId="0" borderId="2" xfId="2" applyFont="1" applyFill="1" applyBorder="1" applyAlignment="1">
      <alignment horizontal="center"/>
    </xf>
    <xf numFmtId="0" fontId="3" fillId="0" borderId="2" xfId="2" applyFont="1" applyFill="1" applyBorder="1" applyAlignment="1">
      <alignment horizontal="left" vertical="center"/>
    </xf>
    <xf numFmtId="0" fontId="3" fillId="0" borderId="2" xfId="2" applyFont="1" applyFill="1" applyBorder="1" applyAlignment="1">
      <alignment vertical="center"/>
    </xf>
    <xf numFmtId="0" fontId="3" fillId="0" borderId="2" xfId="2" quotePrefix="1" applyFont="1" applyFill="1" applyBorder="1" applyAlignment="1">
      <alignment vertical="center"/>
    </xf>
    <xf numFmtId="49" fontId="3" fillId="0" borderId="2" xfId="2" quotePrefix="1" applyNumberFormat="1" applyFont="1" applyFill="1" applyBorder="1" applyAlignment="1">
      <alignment horizontal="left" vertical="center" wrapText="1"/>
    </xf>
    <xf numFmtId="14" fontId="3" fillId="0" borderId="2" xfId="2" applyNumberFormat="1" applyFont="1" applyFill="1" applyBorder="1" applyAlignment="1">
      <alignment horizontal="center" vertical="center"/>
    </xf>
    <xf numFmtId="165" fontId="3" fillId="0" borderId="2" xfId="0" applyNumberFormat="1" applyFont="1" applyFill="1" applyBorder="1"/>
    <xf numFmtId="165" fontId="3" fillId="0" borderId="2" xfId="9" applyNumberFormat="1" applyFont="1" applyFill="1" applyBorder="1" applyAlignment="1">
      <alignment horizontal="center" vertical="center"/>
    </xf>
    <xf numFmtId="49" fontId="3" fillId="0" borderId="2" xfId="2" quotePrefix="1" applyNumberFormat="1" applyFont="1" applyFill="1" applyBorder="1" applyAlignment="1">
      <alignment horizontal="left" vertical="center"/>
    </xf>
    <xf numFmtId="167" fontId="3" fillId="0" borderId="2" xfId="2" quotePrefix="1" applyNumberFormat="1" applyFont="1" applyFill="1" applyBorder="1" applyAlignment="1">
      <alignment horizontal="left" vertical="center"/>
    </xf>
    <xf numFmtId="167" fontId="3" fillId="0" borderId="2" xfId="2" applyNumberFormat="1" applyFont="1" applyFill="1" applyBorder="1" applyAlignment="1">
      <alignment horizontal="left" vertical="center"/>
    </xf>
    <xf numFmtId="49" fontId="3" fillId="0" borderId="2" xfId="2" applyNumberFormat="1" applyFont="1" applyFill="1" applyBorder="1" applyAlignment="1">
      <alignment horizontal="center" vertical="center"/>
    </xf>
    <xf numFmtId="0" fontId="12" fillId="0" borderId="2" xfId="2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12" fillId="0" borderId="2" xfId="2" applyFont="1" applyFill="1" applyBorder="1" applyAlignment="1">
      <alignment horizontal="center" vertical="center" wrapText="1"/>
    </xf>
    <xf numFmtId="14" fontId="12" fillId="0" borderId="2" xfId="1" applyNumberFormat="1" applyFont="1" applyFill="1" applyBorder="1" applyAlignment="1">
      <alignment horizontal="center" vertical="center" wrapText="1"/>
    </xf>
    <xf numFmtId="41" fontId="8" fillId="0" borderId="2" xfId="1" applyNumberFormat="1" applyFont="1" applyFill="1" applyBorder="1" applyAlignment="1">
      <alignment horizontal="center" vertical="center" wrapText="1"/>
    </xf>
    <xf numFmtId="0" fontId="12" fillId="0" borderId="2" xfId="2" applyFont="1" applyFill="1" applyBorder="1" applyAlignment="1">
      <alignment horizontal="center"/>
    </xf>
  </cellXfs>
  <cellStyles count="10">
    <cellStyle name="Comma [0] 2" xfId="3" xr:uid="{048B78F8-641A-46C8-BFD0-98A2123485A7}"/>
    <cellStyle name="Comma [0] 2 2 10" xfId="7" xr:uid="{18F81B3A-4924-44C8-BD16-AE18B1D50C5C}"/>
    <cellStyle name="Comma [0] 3" xfId="8" xr:uid="{83F17B05-990E-4BAF-BE4B-662538578E55}"/>
    <cellStyle name="Comma 2" xfId="4" xr:uid="{CF79190A-33BD-41F2-92B8-6DA6A17DEBFB}"/>
    <cellStyle name="Comma 3 3" xfId="9" xr:uid="{636C7E11-4301-3748-9B5A-A186CFDB5F7B}"/>
    <cellStyle name="Normal" xfId="0" builtinId="0"/>
    <cellStyle name="Normal 2" xfId="2" xr:uid="{C1205B40-50EB-46A8-9801-45E873E595C0}"/>
    <cellStyle name="Normal 2 2" xfId="5" xr:uid="{CF0D4B8A-7691-4C17-8C7A-E166B1C7E19D}"/>
    <cellStyle name="Normal 3" xfId="1" xr:uid="{34A3A1C9-0514-428A-8F8A-A36040D80746}"/>
    <cellStyle name="Normal 4 6" xfId="6" xr:uid="{6B83B5A7-82C3-441A-B46A-858C9B09A2AA}"/>
  </cellStyles>
  <dxfs count="0"/>
  <tableStyles count="0" defaultTableStyle="TableStyleMedium2" defaultPivotStyle="PivotStyleLight16"/>
  <colors>
    <mruColors>
      <color rgb="FFFBD1D7"/>
      <color rgb="FFE2B2D5"/>
      <color rgb="FF9FF3F5"/>
      <color rgb="FFFFD961"/>
      <color rgb="FFFFD3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131C-47BB-489B-9BDF-B183D6D5C938}">
  <dimension ref="A1:U74"/>
  <sheetViews>
    <sheetView tabSelected="1" zoomScale="157" zoomScaleNormal="100" workbookViewId="0">
      <selection activeCell="B21" sqref="B21"/>
    </sheetView>
  </sheetViews>
  <sheetFormatPr baseColWidth="10" defaultColWidth="9.1640625" defaultRowHeight="15"/>
  <cols>
    <col min="1" max="1" width="5.33203125" style="2" bestFit="1" customWidth="1"/>
    <col min="2" max="2" width="109" style="2" bestFit="1" customWidth="1"/>
    <col min="3" max="3" width="26" style="2" bestFit="1" customWidth="1"/>
    <col min="4" max="4" width="18.83203125" style="2" bestFit="1" customWidth="1"/>
    <col min="5" max="5" width="40.1640625" style="2" bestFit="1" customWidth="1"/>
    <col min="6" max="6" width="39.1640625" style="2" bestFit="1" customWidth="1"/>
    <col min="7" max="7" width="20.6640625" style="2" bestFit="1" customWidth="1"/>
    <col min="8" max="8" width="19.5" style="2" bestFit="1" customWidth="1"/>
    <col min="9" max="9" width="16" style="2" bestFit="1" customWidth="1"/>
    <col min="10" max="10" width="12.6640625" style="2" bestFit="1" customWidth="1"/>
    <col min="11" max="11" width="19" style="2" customWidth="1"/>
    <col min="12" max="12" width="17.1640625" style="2" bestFit="1" customWidth="1"/>
    <col min="13" max="13" width="15.33203125" style="2" bestFit="1" customWidth="1"/>
    <col min="14" max="14" width="14.1640625" style="2" bestFit="1" customWidth="1"/>
    <col min="15" max="15" width="15.6640625" style="2" bestFit="1" customWidth="1"/>
    <col min="16" max="16" width="12.1640625" style="2" bestFit="1" customWidth="1"/>
    <col min="17" max="17" width="12.5" style="2" bestFit="1" customWidth="1"/>
    <col min="18" max="18" width="11.6640625" style="2" bestFit="1" customWidth="1"/>
    <col min="19" max="19" width="21.83203125" style="2" bestFit="1" customWidth="1"/>
    <col min="20" max="20" width="16" style="2" bestFit="1" customWidth="1"/>
    <col min="21" max="21" width="11.1640625" style="2" bestFit="1" customWidth="1"/>
    <col min="22" max="22" width="9.1640625" style="2"/>
    <col min="23" max="23" width="10.1640625" style="2" bestFit="1" customWidth="1"/>
    <col min="24" max="24" width="5.33203125" style="2" bestFit="1" customWidth="1"/>
    <col min="25" max="25" width="11.1640625" style="2" bestFit="1" customWidth="1"/>
    <col min="26" max="26" width="5.33203125" style="2" bestFit="1" customWidth="1"/>
    <col min="27" max="27" width="9.1640625" style="2"/>
    <col min="28" max="28" width="18.33203125" style="2" bestFit="1" customWidth="1"/>
    <col min="29" max="29" width="9.33203125" style="2" bestFit="1" customWidth="1"/>
    <col min="30" max="16384" width="9.1640625" style="2"/>
  </cols>
  <sheetData>
    <row r="1" spans="1:21" ht="16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39"/>
    </row>
    <row r="2" spans="1:21" s="75" customFormat="1" ht="16">
      <c r="A2" s="94" t="s">
        <v>1</v>
      </c>
      <c r="B2" s="88" t="s">
        <v>9</v>
      </c>
      <c r="C2" s="88"/>
      <c r="D2" s="88"/>
      <c r="E2" s="90" t="s">
        <v>10</v>
      </c>
      <c r="F2" s="90"/>
      <c r="G2" s="90"/>
      <c r="H2" s="95" t="s">
        <v>11</v>
      </c>
      <c r="I2" s="95"/>
      <c r="J2" s="95"/>
      <c r="K2" s="91" t="s">
        <v>18</v>
      </c>
      <c r="L2" s="91"/>
      <c r="M2" s="89" t="s">
        <v>22</v>
      </c>
      <c r="N2" s="89"/>
      <c r="O2" s="89"/>
      <c r="P2" s="89"/>
      <c r="Q2" s="89"/>
      <c r="R2" s="89"/>
      <c r="S2" s="92" t="s">
        <v>23</v>
      </c>
      <c r="T2" s="93" t="s">
        <v>2</v>
      </c>
      <c r="U2" s="74"/>
    </row>
    <row r="3" spans="1:21" s="3" customFormat="1" ht="46.5" customHeight="1">
      <c r="A3" s="94"/>
      <c r="B3" s="76" t="s">
        <v>3</v>
      </c>
      <c r="C3" s="76" t="s">
        <v>5</v>
      </c>
      <c r="D3" s="76" t="s">
        <v>4</v>
      </c>
      <c r="E3" s="77" t="s">
        <v>6</v>
      </c>
      <c r="F3" s="77" t="s">
        <v>7</v>
      </c>
      <c r="G3" s="77" t="s">
        <v>8</v>
      </c>
      <c r="H3" s="78" t="s">
        <v>21</v>
      </c>
      <c r="I3" s="78" t="s">
        <v>12</v>
      </c>
      <c r="J3" s="78" t="s">
        <v>13</v>
      </c>
      <c r="K3" s="79" t="s">
        <v>24</v>
      </c>
      <c r="L3" s="79" t="s">
        <v>19</v>
      </c>
      <c r="M3" s="80" t="s">
        <v>14</v>
      </c>
      <c r="N3" s="81" t="s">
        <v>20</v>
      </c>
      <c r="O3" s="81" t="s">
        <v>15</v>
      </c>
      <c r="P3" s="82" t="s">
        <v>25</v>
      </c>
      <c r="Q3" s="81" t="s">
        <v>16</v>
      </c>
      <c r="R3" s="81" t="s">
        <v>17</v>
      </c>
      <c r="S3" s="92"/>
      <c r="T3" s="93"/>
      <c r="U3" s="40"/>
    </row>
    <row r="4" spans="1:21" s="97" customFormat="1" ht="16">
      <c r="A4" s="104">
        <v>1</v>
      </c>
      <c r="B4" s="105" t="s">
        <v>156</v>
      </c>
      <c r="C4" s="106" t="s">
        <v>26</v>
      </c>
      <c r="D4" s="107" t="s">
        <v>155</v>
      </c>
      <c r="E4" s="105" t="s">
        <v>157</v>
      </c>
      <c r="F4" s="108" t="s">
        <v>158</v>
      </c>
      <c r="G4" s="108"/>
      <c r="H4" s="109">
        <v>46122</v>
      </c>
      <c r="I4" s="109"/>
      <c r="J4" s="109"/>
      <c r="K4" s="109"/>
      <c r="L4" s="109"/>
      <c r="M4" s="100">
        <f t="shared" ref="M4:M18" si="0">I4+L4</f>
        <v>0</v>
      </c>
      <c r="N4" s="100"/>
      <c r="O4" s="110">
        <v>3000000</v>
      </c>
      <c r="P4" s="110"/>
      <c r="Q4" s="101"/>
      <c r="R4" s="100">
        <f>IF(P4="GROSS UP",#REF!,0)</f>
        <v>0</v>
      </c>
      <c r="S4" s="100"/>
      <c r="T4" s="111"/>
      <c r="U4" s="98"/>
    </row>
    <row r="5" spans="1:21" s="97" customFormat="1">
      <c r="A5" s="104">
        <v>2</v>
      </c>
      <c r="B5" s="105" t="s">
        <v>161</v>
      </c>
      <c r="C5" s="106" t="s">
        <v>159</v>
      </c>
      <c r="D5" s="107" t="s">
        <v>160</v>
      </c>
      <c r="E5" s="105" t="s">
        <v>162</v>
      </c>
      <c r="F5" s="112" t="s">
        <v>163</v>
      </c>
      <c r="G5" s="112"/>
      <c r="H5" s="109">
        <v>46132</v>
      </c>
      <c r="I5" s="109"/>
      <c r="J5" s="109"/>
      <c r="K5" s="109"/>
      <c r="L5" s="109"/>
      <c r="M5" s="100">
        <f t="shared" si="0"/>
        <v>0</v>
      </c>
      <c r="N5" s="100"/>
      <c r="O5" s="111">
        <f>T5*90.09%</f>
        <v>0</v>
      </c>
      <c r="P5" s="110"/>
      <c r="Q5" s="101"/>
      <c r="R5" s="100">
        <f>IF(P5="GROSS UP",#REF!,0)</f>
        <v>0</v>
      </c>
      <c r="S5" s="100"/>
      <c r="T5" s="111"/>
      <c r="U5" s="98"/>
    </row>
    <row r="6" spans="1:21" s="97" customFormat="1">
      <c r="A6" s="104">
        <f t="shared" ref="A5:A40" si="1">A5+1</f>
        <v>3</v>
      </c>
      <c r="B6" s="105" t="s">
        <v>166</v>
      </c>
      <c r="C6" s="106" t="s">
        <v>164</v>
      </c>
      <c r="D6" s="107" t="s">
        <v>165</v>
      </c>
      <c r="E6" s="112" t="s">
        <v>167</v>
      </c>
      <c r="F6" s="112" t="s">
        <v>168</v>
      </c>
      <c r="G6" s="112"/>
      <c r="H6" s="109">
        <v>46113</v>
      </c>
      <c r="I6" s="109"/>
      <c r="J6" s="109"/>
      <c r="K6" s="109"/>
      <c r="L6" s="109"/>
      <c r="M6" s="100">
        <f t="shared" si="0"/>
        <v>0</v>
      </c>
      <c r="N6" s="100"/>
      <c r="O6" s="111">
        <v>28000000</v>
      </c>
      <c r="P6" s="110"/>
      <c r="Q6" s="101"/>
      <c r="R6" s="100">
        <f>IF(P6="GROSS UP",#REF!,0)</f>
        <v>0</v>
      </c>
      <c r="S6" s="100"/>
      <c r="T6" s="111"/>
      <c r="U6" s="98"/>
    </row>
    <row r="7" spans="1:21" s="97" customFormat="1">
      <c r="A7" s="104">
        <f t="shared" si="1"/>
        <v>4</v>
      </c>
      <c r="B7" s="105" t="s">
        <v>171</v>
      </c>
      <c r="C7" s="106" t="s">
        <v>169</v>
      </c>
      <c r="D7" s="107" t="s">
        <v>170</v>
      </c>
      <c r="E7" s="112" t="s">
        <v>172</v>
      </c>
      <c r="F7" s="112" t="s">
        <v>173</v>
      </c>
      <c r="G7" s="112"/>
      <c r="H7" s="109">
        <v>46125</v>
      </c>
      <c r="I7" s="109"/>
      <c r="J7" s="109"/>
      <c r="K7" s="109"/>
      <c r="L7" s="109"/>
      <c r="M7" s="100">
        <f t="shared" si="0"/>
        <v>0</v>
      </c>
      <c r="N7" s="100"/>
      <c r="O7" s="111">
        <v>2376000</v>
      </c>
      <c r="P7" s="110"/>
      <c r="Q7" s="101"/>
      <c r="R7" s="100">
        <f>IF(P7="GROSS UP",#REF!,0)</f>
        <v>0</v>
      </c>
      <c r="S7" s="100"/>
      <c r="T7" s="111"/>
      <c r="U7" s="98"/>
    </row>
    <row r="8" spans="1:21" s="97" customFormat="1">
      <c r="A8" s="104">
        <f t="shared" si="1"/>
        <v>5</v>
      </c>
      <c r="B8" s="105" t="s">
        <v>176</v>
      </c>
      <c r="C8" s="106" t="s">
        <v>174</v>
      </c>
      <c r="D8" s="107" t="s">
        <v>175</v>
      </c>
      <c r="E8" s="112" t="s">
        <v>177</v>
      </c>
      <c r="F8" s="112" t="s">
        <v>178</v>
      </c>
      <c r="G8" s="112"/>
      <c r="H8" s="109">
        <v>46133</v>
      </c>
      <c r="I8" s="109"/>
      <c r="J8" s="109"/>
      <c r="K8" s="109"/>
      <c r="L8" s="109"/>
      <c r="M8" s="100">
        <f t="shared" si="0"/>
        <v>0</v>
      </c>
      <c r="N8" s="100"/>
      <c r="O8" s="111">
        <v>4475000</v>
      </c>
      <c r="P8" s="110"/>
      <c r="Q8" s="101"/>
      <c r="R8" s="100">
        <f>IF(P8="GROSS UP",#REF!,0)</f>
        <v>0</v>
      </c>
      <c r="S8" s="100"/>
      <c r="T8" s="111"/>
      <c r="U8" s="98"/>
    </row>
    <row r="9" spans="1:21" s="97" customFormat="1">
      <c r="A9" s="104">
        <f t="shared" si="1"/>
        <v>6</v>
      </c>
      <c r="B9" s="105" t="s">
        <v>176</v>
      </c>
      <c r="C9" s="106" t="s">
        <v>174</v>
      </c>
      <c r="D9" s="107" t="s">
        <v>175</v>
      </c>
      <c r="E9" s="112" t="s">
        <v>179</v>
      </c>
      <c r="F9" s="112" t="s">
        <v>180</v>
      </c>
      <c r="G9" s="112"/>
      <c r="H9" s="109">
        <v>46137</v>
      </c>
      <c r="I9" s="109"/>
      <c r="J9" s="109"/>
      <c r="K9" s="109"/>
      <c r="L9" s="109"/>
      <c r="M9" s="100">
        <f t="shared" si="0"/>
        <v>0</v>
      </c>
      <c r="N9" s="100"/>
      <c r="O9" s="111">
        <v>1552000</v>
      </c>
      <c r="P9" s="110"/>
      <c r="Q9" s="101"/>
      <c r="R9" s="100">
        <f>IF(P9="GROSS UP",#REF!,0)</f>
        <v>0</v>
      </c>
      <c r="S9" s="100"/>
      <c r="T9" s="111"/>
      <c r="U9" s="98"/>
    </row>
    <row r="10" spans="1:21" s="97" customFormat="1">
      <c r="A10" s="104">
        <f t="shared" si="1"/>
        <v>7</v>
      </c>
      <c r="B10" s="105" t="s">
        <v>176</v>
      </c>
      <c r="C10" s="106" t="s">
        <v>174</v>
      </c>
      <c r="D10" s="107" t="s">
        <v>175</v>
      </c>
      <c r="E10" s="112" t="s">
        <v>181</v>
      </c>
      <c r="F10" s="112" t="s">
        <v>182</v>
      </c>
      <c r="G10" s="112"/>
      <c r="H10" s="109">
        <v>46140</v>
      </c>
      <c r="I10" s="109"/>
      <c r="J10" s="109"/>
      <c r="K10" s="109"/>
      <c r="L10" s="109"/>
      <c r="M10" s="100">
        <f t="shared" si="0"/>
        <v>0</v>
      </c>
      <c r="N10" s="100"/>
      <c r="O10" s="111">
        <v>648000</v>
      </c>
      <c r="P10" s="110"/>
      <c r="Q10" s="101"/>
      <c r="R10" s="100">
        <f>IF(P10="GROSS UP",#REF!,0)</f>
        <v>0</v>
      </c>
      <c r="S10" s="100"/>
      <c r="T10" s="111"/>
      <c r="U10" s="98"/>
    </row>
    <row r="11" spans="1:21" s="97" customFormat="1">
      <c r="A11" s="104">
        <f t="shared" si="1"/>
        <v>8</v>
      </c>
      <c r="B11" s="105" t="s">
        <v>176</v>
      </c>
      <c r="C11" s="106" t="s">
        <v>174</v>
      </c>
      <c r="D11" s="107" t="s">
        <v>175</v>
      </c>
      <c r="E11" s="112" t="s">
        <v>183</v>
      </c>
      <c r="F11" s="112" t="s">
        <v>184</v>
      </c>
      <c r="G11" s="112"/>
      <c r="H11" s="109">
        <v>46140</v>
      </c>
      <c r="I11" s="109"/>
      <c r="J11" s="109"/>
      <c r="K11" s="109"/>
      <c r="L11" s="109"/>
      <c r="M11" s="100">
        <f t="shared" si="0"/>
        <v>0</v>
      </c>
      <c r="N11" s="100"/>
      <c r="O11" s="111">
        <v>981800</v>
      </c>
      <c r="P11" s="110"/>
      <c r="Q11" s="101"/>
      <c r="R11" s="100">
        <f>IF(P11="GROSS UP",#REF!,0)</f>
        <v>0</v>
      </c>
      <c r="S11" s="100"/>
      <c r="T11" s="111"/>
      <c r="U11" s="98"/>
    </row>
    <row r="12" spans="1:21" s="97" customFormat="1">
      <c r="A12" s="104">
        <f t="shared" si="1"/>
        <v>9</v>
      </c>
      <c r="B12" s="105" t="s">
        <v>187</v>
      </c>
      <c r="C12" s="106" t="s">
        <v>185</v>
      </c>
      <c r="D12" s="107" t="s">
        <v>186</v>
      </c>
      <c r="E12" s="105" t="s">
        <v>149</v>
      </c>
      <c r="F12" s="112" t="s">
        <v>150</v>
      </c>
      <c r="G12" s="112"/>
      <c r="H12" s="109">
        <v>46137</v>
      </c>
      <c r="I12" s="109"/>
      <c r="J12" s="109"/>
      <c r="K12" s="109"/>
      <c r="L12" s="109"/>
      <c r="M12" s="100">
        <f t="shared" si="0"/>
        <v>0</v>
      </c>
      <c r="N12" s="100"/>
      <c r="O12" s="110">
        <v>4280000</v>
      </c>
      <c r="P12" s="110"/>
      <c r="Q12" s="101"/>
      <c r="R12" s="100">
        <f>IF(P12="GROSS UP",#REF!,0)</f>
        <v>0</v>
      </c>
      <c r="S12" s="100"/>
      <c r="T12" s="110"/>
    </row>
    <row r="13" spans="1:21" s="97" customFormat="1">
      <c r="A13" s="104">
        <f t="shared" si="1"/>
        <v>10</v>
      </c>
      <c r="B13" s="105" t="s">
        <v>187</v>
      </c>
      <c r="C13" s="106" t="s">
        <v>188</v>
      </c>
      <c r="D13" s="107" t="s">
        <v>189</v>
      </c>
      <c r="E13" s="105" t="s">
        <v>149</v>
      </c>
      <c r="F13" s="113" t="s">
        <v>151</v>
      </c>
      <c r="G13" s="113"/>
      <c r="H13" s="109">
        <v>46137</v>
      </c>
      <c r="I13" s="109"/>
      <c r="J13" s="109"/>
      <c r="K13" s="109"/>
      <c r="L13" s="109"/>
      <c r="M13" s="100">
        <f t="shared" si="0"/>
        <v>0</v>
      </c>
      <c r="N13" s="100"/>
      <c r="O13" s="110">
        <v>4340000</v>
      </c>
      <c r="P13" s="110"/>
      <c r="Q13" s="101"/>
      <c r="R13" s="100">
        <f>IF(P13="GROSS UP",#REF!,0)</f>
        <v>0</v>
      </c>
      <c r="S13" s="100"/>
      <c r="T13" s="110"/>
    </row>
    <row r="14" spans="1:21" s="97" customFormat="1">
      <c r="A14" s="104">
        <f t="shared" si="1"/>
        <v>11</v>
      </c>
      <c r="B14" s="105" t="s">
        <v>187</v>
      </c>
      <c r="C14" s="106" t="s">
        <v>190</v>
      </c>
      <c r="D14" s="107" t="s">
        <v>191</v>
      </c>
      <c r="E14" s="105" t="s">
        <v>149</v>
      </c>
      <c r="F14" s="113" t="s">
        <v>152</v>
      </c>
      <c r="G14" s="113"/>
      <c r="H14" s="109">
        <v>46137</v>
      </c>
      <c r="I14" s="109"/>
      <c r="J14" s="109"/>
      <c r="K14" s="109"/>
      <c r="L14" s="109"/>
      <c r="M14" s="100">
        <f t="shared" si="0"/>
        <v>0</v>
      </c>
      <c r="N14" s="100"/>
      <c r="O14" s="110">
        <v>3919700</v>
      </c>
      <c r="P14" s="110"/>
      <c r="Q14" s="101"/>
      <c r="R14" s="100">
        <f>IF(P14="GROSS UP",#REF!,0)</f>
        <v>0</v>
      </c>
      <c r="S14" s="100"/>
      <c r="T14" s="110"/>
    </row>
    <row r="15" spans="1:21" s="97" customFormat="1">
      <c r="A15" s="104">
        <f t="shared" si="1"/>
        <v>12</v>
      </c>
      <c r="B15" s="105" t="s">
        <v>187</v>
      </c>
      <c r="C15" s="106" t="s">
        <v>192</v>
      </c>
      <c r="D15" s="107" t="s">
        <v>193</v>
      </c>
      <c r="E15" s="105" t="s">
        <v>149</v>
      </c>
      <c r="F15" s="113" t="s">
        <v>153</v>
      </c>
      <c r="G15" s="113"/>
      <c r="H15" s="109">
        <v>46137</v>
      </c>
      <c r="I15" s="109"/>
      <c r="J15" s="109"/>
      <c r="K15" s="109"/>
      <c r="L15" s="109"/>
      <c r="M15" s="100">
        <f t="shared" si="0"/>
        <v>0</v>
      </c>
      <c r="N15" s="100"/>
      <c r="O15" s="110">
        <v>3669400</v>
      </c>
      <c r="P15" s="110"/>
      <c r="Q15" s="101"/>
      <c r="R15" s="100">
        <f>IF(P15="GROSS UP",#REF!,0)</f>
        <v>0</v>
      </c>
      <c r="S15" s="100"/>
      <c r="T15" s="110"/>
    </row>
    <row r="16" spans="1:21" s="97" customFormat="1">
      <c r="A16" s="104">
        <f t="shared" si="1"/>
        <v>13</v>
      </c>
      <c r="B16" s="105" t="s">
        <v>187</v>
      </c>
      <c r="C16" s="106" t="s">
        <v>194</v>
      </c>
      <c r="D16" s="107" t="s">
        <v>195</v>
      </c>
      <c r="E16" s="105" t="s">
        <v>149</v>
      </c>
      <c r="F16" s="113" t="s">
        <v>154</v>
      </c>
      <c r="G16" s="113"/>
      <c r="H16" s="109">
        <v>46137</v>
      </c>
      <c r="I16" s="109"/>
      <c r="J16" s="109"/>
      <c r="K16" s="109"/>
      <c r="L16" s="109"/>
      <c r="M16" s="100">
        <f t="shared" si="0"/>
        <v>0</v>
      </c>
      <c r="N16" s="100"/>
      <c r="O16" s="110">
        <v>5530000</v>
      </c>
      <c r="P16" s="110"/>
      <c r="Q16" s="101"/>
      <c r="R16" s="100">
        <f>IF(P16="GROSS UP",#REF!,0)</f>
        <v>0</v>
      </c>
      <c r="S16" s="100"/>
      <c r="T16" s="110"/>
    </row>
    <row r="17" spans="1:21" s="97" customFormat="1">
      <c r="A17" s="104">
        <f t="shared" si="1"/>
        <v>14</v>
      </c>
      <c r="B17" s="105" t="s">
        <v>198</v>
      </c>
      <c r="C17" s="106" t="s">
        <v>196</v>
      </c>
      <c r="D17" s="106" t="s">
        <v>197</v>
      </c>
      <c r="E17" s="105" t="s">
        <v>199</v>
      </c>
      <c r="F17" s="114"/>
      <c r="G17" s="114"/>
      <c r="H17" s="115" t="s">
        <v>200</v>
      </c>
      <c r="I17" s="115"/>
      <c r="J17" s="115"/>
      <c r="K17" s="115"/>
      <c r="L17" s="115"/>
      <c r="M17" s="100">
        <f t="shared" si="0"/>
        <v>0</v>
      </c>
      <c r="N17" s="100"/>
      <c r="O17" s="111"/>
      <c r="P17" s="110"/>
      <c r="Q17" s="101"/>
      <c r="R17" s="100">
        <f>IF(P17="GROSS UP",#REF!,0)</f>
        <v>0</v>
      </c>
      <c r="S17" s="100"/>
      <c r="T17" s="110"/>
    </row>
    <row r="18" spans="1:21" s="96" customFormat="1">
      <c r="A18" s="104">
        <f t="shared" si="1"/>
        <v>15</v>
      </c>
      <c r="B18" s="105" t="s">
        <v>198</v>
      </c>
      <c r="C18" s="106" t="s">
        <v>196</v>
      </c>
      <c r="D18" s="106" t="s">
        <v>197</v>
      </c>
      <c r="E18" s="105" t="s">
        <v>201</v>
      </c>
      <c r="F18" s="114"/>
      <c r="G18" s="114"/>
      <c r="H18" s="115" t="s">
        <v>200</v>
      </c>
      <c r="I18" s="115"/>
      <c r="J18" s="115"/>
      <c r="K18" s="115"/>
      <c r="L18" s="115"/>
      <c r="M18" s="102">
        <f t="shared" si="0"/>
        <v>0</v>
      </c>
      <c r="N18" s="102"/>
      <c r="O18" s="110">
        <v>1451523</v>
      </c>
      <c r="P18" s="110"/>
      <c r="Q18" s="103"/>
      <c r="R18" s="102">
        <f>IF(P18="GROSS UP",#REF!,0)</f>
        <v>0</v>
      </c>
      <c r="S18" s="102"/>
      <c r="T18" s="110"/>
    </row>
    <row r="19" spans="1:21" s="12" customFormat="1">
      <c r="A19" s="104">
        <f t="shared" si="1"/>
        <v>16</v>
      </c>
      <c r="B19" s="116"/>
      <c r="C19" s="117"/>
      <c r="D19" s="118"/>
      <c r="E19" s="117"/>
      <c r="F19" s="119"/>
      <c r="G19" s="119"/>
      <c r="H19" s="119"/>
      <c r="I19" s="119"/>
      <c r="J19" s="119"/>
      <c r="K19" s="120"/>
      <c r="L19" s="120"/>
      <c r="M19" s="121"/>
      <c r="N19" s="122"/>
      <c r="O19" s="66"/>
      <c r="P19" s="66"/>
      <c r="Q19" s="66"/>
      <c r="R19" s="66"/>
      <c r="S19" s="66"/>
      <c r="T19" s="123"/>
      <c r="U19" s="99"/>
    </row>
    <row r="20" spans="1:21" s="12" customFormat="1">
      <c r="A20" s="104">
        <f t="shared" si="1"/>
        <v>17</v>
      </c>
      <c r="B20" s="116"/>
      <c r="C20" s="117"/>
      <c r="D20" s="118"/>
      <c r="E20" s="117"/>
      <c r="F20" s="120"/>
      <c r="G20" s="120"/>
      <c r="H20" s="120"/>
      <c r="I20" s="120"/>
      <c r="J20" s="120"/>
      <c r="K20" s="120"/>
      <c r="L20" s="120"/>
      <c r="M20" s="121"/>
      <c r="N20" s="122"/>
      <c r="O20" s="66"/>
      <c r="P20" s="66"/>
      <c r="Q20" s="66"/>
      <c r="R20" s="66"/>
      <c r="S20" s="66"/>
      <c r="T20" s="123"/>
      <c r="U20" s="99"/>
    </row>
    <row r="21" spans="1:21" s="12" customFormat="1">
      <c r="A21" s="104">
        <f t="shared" si="1"/>
        <v>18</v>
      </c>
      <c r="B21" s="61"/>
      <c r="C21" s="38"/>
      <c r="D21" s="68"/>
      <c r="E21" s="38"/>
      <c r="F21" s="38"/>
      <c r="G21" s="38"/>
      <c r="H21" s="38"/>
      <c r="I21" s="38"/>
      <c r="J21" s="38"/>
      <c r="K21" s="38"/>
      <c r="L21" s="38"/>
      <c r="M21" s="59"/>
      <c r="N21" s="56"/>
      <c r="O21" s="60"/>
      <c r="P21" s="58"/>
      <c r="Q21" s="58"/>
      <c r="R21" s="58"/>
      <c r="S21" s="58"/>
      <c r="T21" s="64"/>
    </row>
    <row r="22" spans="1:21" s="12" customFormat="1">
      <c r="A22" s="104">
        <f t="shared" si="1"/>
        <v>19</v>
      </c>
      <c r="B22" s="61"/>
      <c r="C22" s="38"/>
      <c r="D22" s="68"/>
      <c r="E22" s="38"/>
      <c r="F22" s="54"/>
      <c r="G22" s="54"/>
      <c r="H22" s="54"/>
      <c r="I22" s="54"/>
      <c r="J22" s="54"/>
      <c r="K22" s="38"/>
      <c r="L22" s="38"/>
      <c r="M22" s="59"/>
      <c r="N22" s="56"/>
      <c r="O22" s="60"/>
      <c r="P22" s="58"/>
      <c r="Q22" s="58"/>
      <c r="R22" s="58"/>
      <c r="S22" s="58"/>
      <c r="T22" s="64"/>
    </row>
    <row r="23" spans="1:21" s="12" customFormat="1">
      <c r="A23" s="104">
        <f t="shared" si="1"/>
        <v>20</v>
      </c>
      <c r="B23" s="61"/>
      <c r="C23" s="38"/>
      <c r="D23" s="68"/>
      <c r="E23" s="38"/>
      <c r="F23" s="54"/>
      <c r="G23" s="54"/>
      <c r="H23" s="54"/>
      <c r="I23" s="54"/>
      <c r="J23" s="54"/>
      <c r="K23" s="38"/>
      <c r="L23" s="38"/>
      <c r="M23" s="59"/>
      <c r="N23" s="56"/>
      <c r="O23" s="60"/>
      <c r="P23" s="58"/>
      <c r="Q23" s="58"/>
      <c r="R23" s="58"/>
      <c r="S23" s="58"/>
      <c r="T23" s="64"/>
      <c r="U23" s="41"/>
    </row>
    <row r="24" spans="1:21" s="12" customFormat="1">
      <c r="A24" s="104">
        <f t="shared" si="1"/>
        <v>21</v>
      </c>
      <c r="B24" s="61"/>
      <c r="C24" s="38"/>
      <c r="D24" s="68"/>
      <c r="E24" s="38"/>
      <c r="F24" s="54"/>
      <c r="G24" s="54"/>
      <c r="H24" s="54"/>
      <c r="I24" s="54"/>
      <c r="J24" s="54"/>
      <c r="K24" s="38"/>
      <c r="L24" s="38"/>
      <c r="M24" s="59"/>
      <c r="N24" s="56"/>
      <c r="O24" s="60"/>
      <c r="P24" s="58"/>
      <c r="Q24" s="58"/>
      <c r="R24" s="58"/>
      <c r="S24" s="58"/>
      <c r="T24" s="64"/>
      <c r="U24" s="41"/>
    </row>
    <row r="25" spans="1:21" s="12" customFormat="1">
      <c r="A25" s="104">
        <f t="shared" si="1"/>
        <v>22</v>
      </c>
      <c r="B25" s="61"/>
      <c r="C25" s="38"/>
      <c r="D25" s="68"/>
      <c r="E25" s="38"/>
      <c r="F25" s="54"/>
      <c r="G25" s="54"/>
      <c r="H25" s="54"/>
      <c r="I25" s="54"/>
      <c r="J25" s="54"/>
      <c r="K25" s="38"/>
      <c r="L25" s="38"/>
      <c r="M25" s="59"/>
      <c r="N25" s="56"/>
      <c r="O25" s="60"/>
      <c r="P25" s="58"/>
      <c r="Q25" s="58"/>
      <c r="R25" s="58"/>
      <c r="S25" s="58"/>
      <c r="T25" s="64"/>
      <c r="U25" s="41"/>
    </row>
    <row r="26" spans="1:21" s="12" customFormat="1">
      <c r="A26" s="104">
        <f t="shared" si="1"/>
        <v>23</v>
      </c>
      <c r="B26" s="61"/>
      <c r="C26" s="38"/>
      <c r="D26" s="68"/>
      <c r="E26" s="38"/>
      <c r="F26" s="38"/>
      <c r="G26" s="38"/>
      <c r="H26" s="38"/>
      <c r="I26" s="38"/>
      <c r="J26" s="38"/>
      <c r="K26" s="38"/>
      <c r="L26" s="38"/>
      <c r="M26" s="65"/>
      <c r="N26" s="56"/>
      <c r="O26" s="66"/>
      <c r="P26" s="67"/>
      <c r="Q26" s="67"/>
      <c r="R26" s="67"/>
      <c r="S26" s="67"/>
      <c r="T26" s="64"/>
      <c r="U26" s="41"/>
    </row>
    <row r="27" spans="1:21" s="12" customFormat="1">
      <c r="A27" s="104">
        <f t="shared" si="1"/>
        <v>24</v>
      </c>
      <c r="B27" s="61"/>
      <c r="C27" s="38"/>
      <c r="D27" s="68"/>
      <c r="E27" s="38"/>
      <c r="F27" s="38"/>
      <c r="G27" s="38"/>
      <c r="H27" s="38"/>
      <c r="I27" s="38"/>
      <c r="J27" s="38"/>
      <c r="K27" s="38"/>
      <c r="L27" s="38"/>
      <c r="M27" s="65"/>
      <c r="N27" s="56"/>
      <c r="O27" s="66"/>
      <c r="P27" s="67"/>
      <c r="Q27" s="67"/>
      <c r="R27" s="67"/>
      <c r="S27" s="67"/>
      <c r="T27" s="64"/>
      <c r="U27" s="41"/>
    </row>
    <row r="28" spans="1:21" s="12" customFormat="1">
      <c r="A28" s="104">
        <f t="shared" si="1"/>
        <v>25</v>
      </c>
      <c r="B28" s="61"/>
      <c r="C28" s="57"/>
      <c r="D28" s="62"/>
      <c r="E28" s="63"/>
      <c r="F28" s="38"/>
      <c r="G28" s="38"/>
      <c r="H28" s="38"/>
      <c r="I28" s="38"/>
      <c r="J28" s="38"/>
      <c r="K28" s="38"/>
      <c r="L28" s="38"/>
      <c r="M28" s="65"/>
      <c r="N28" s="56"/>
      <c r="O28" s="66"/>
      <c r="P28" s="67"/>
      <c r="Q28" s="67"/>
      <c r="R28" s="67"/>
      <c r="S28" s="67"/>
      <c r="T28" s="64"/>
      <c r="U28" s="41"/>
    </row>
    <row r="29" spans="1:21" s="12" customFormat="1">
      <c r="A29" s="104">
        <f t="shared" si="1"/>
        <v>26</v>
      </c>
      <c r="B29" s="61"/>
      <c r="C29" s="57"/>
      <c r="D29" s="62"/>
      <c r="E29" s="38"/>
      <c r="F29" s="38"/>
      <c r="G29" s="38"/>
      <c r="H29" s="38"/>
      <c r="I29" s="38"/>
      <c r="J29" s="38"/>
      <c r="K29" s="62"/>
      <c r="L29" s="62"/>
      <c r="M29" s="65"/>
      <c r="N29" s="56"/>
      <c r="O29" s="66"/>
      <c r="P29" s="67"/>
      <c r="Q29" s="67"/>
      <c r="R29" s="67"/>
      <c r="S29" s="67"/>
      <c r="T29" s="64"/>
      <c r="U29" s="41"/>
    </row>
    <row r="30" spans="1:21" s="12" customFormat="1">
      <c r="A30" s="104">
        <f t="shared" si="1"/>
        <v>27</v>
      </c>
      <c r="B30" s="61"/>
      <c r="C30" s="57"/>
      <c r="D30" s="62"/>
      <c r="E30" s="38"/>
      <c r="F30" s="38"/>
      <c r="G30" s="38"/>
      <c r="H30" s="38"/>
      <c r="I30" s="38"/>
      <c r="J30" s="38"/>
      <c r="K30" s="62"/>
      <c r="L30" s="62"/>
      <c r="M30" s="65"/>
      <c r="N30" s="56"/>
      <c r="O30" s="66"/>
      <c r="P30" s="67"/>
      <c r="Q30" s="67"/>
      <c r="R30" s="67"/>
      <c r="S30" s="67"/>
      <c r="T30" s="64"/>
      <c r="U30" s="41"/>
    </row>
    <row r="31" spans="1:21" s="12" customFormat="1">
      <c r="A31" s="104">
        <f t="shared" si="1"/>
        <v>28</v>
      </c>
      <c r="B31" s="61"/>
      <c r="C31" s="57"/>
      <c r="D31" s="62"/>
      <c r="E31" s="38"/>
      <c r="F31" s="38"/>
      <c r="G31" s="38"/>
      <c r="H31" s="38"/>
      <c r="I31" s="38"/>
      <c r="J31" s="38"/>
      <c r="K31" s="62"/>
      <c r="L31" s="62"/>
      <c r="M31" s="59"/>
      <c r="N31" s="56"/>
      <c r="O31" s="60"/>
      <c r="P31" s="58"/>
      <c r="Q31" s="58"/>
      <c r="R31" s="58"/>
      <c r="S31" s="58"/>
      <c r="T31" s="64"/>
      <c r="U31" s="41"/>
    </row>
    <row r="32" spans="1:21" s="12" customFormat="1">
      <c r="A32" s="104">
        <f t="shared" si="1"/>
        <v>29</v>
      </c>
      <c r="B32" s="61"/>
      <c r="C32" s="57"/>
      <c r="D32" s="62"/>
      <c r="E32" s="63"/>
      <c r="F32" s="38"/>
      <c r="G32" s="38"/>
      <c r="H32" s="38"/>
      <c r="I32" s="38"/>
      <c r="J32" s="38"/>
      <c r="K32" s="38"/>
      <c r="L32" s="38"/>
      <c r="M32" s="59"/>
      <c r="N32" s="56"/>
      <c r="O32" s="60"/>
      <c r="P32" s="58"/>
      <c r="Q32" s="58"/>
      <c r="R32" s="58"/>
      <c r="S32" s="58"/>
      <c r="T32" s="64"/>
      <c r="U32" s="41"/>
    </row>
    <row r="33" spans="1:21" s="12" customFormat="1">
      <c r="A33" s="104">
        <f t="shared" si="1"/>
        <v>30</v>
      </c>
      <c r="B33" s="61"/>
      <c r="C33" s="38"/>
      <c r="D33" s="68"/>
      <c r="E33" s="38"/>
      <c r="F33" s="68"/>
      <c r="G33" s="38"/>
      <c r="H33" s="38"/>
      <c r="I33" s="38"/>
      <c r="J33" s="38"/>
      <c r="K33" s="68"/>
      <c r="L33" s="68"/>
      <c r="M33" s="59"/>
      <c r="N33" s="56"/>
      <c r="O33" s="60"/>
      <c r="P33" s="58"/>
      <c r="Q33" s="58"/>
      <c r="R33" s="58"/>
      <c r="S33" s="58"/>
      <c r="T33" s="64"/>
      <c r="U33" s="41"/>
    </row>
    <row r="34" spans="1:21" s="12" customFormat="1">
      <c r="A34" s="104">
        <f t="shared" si="1"/>
        <v>31</v>
      </c>
      <c r="B34" s="61"/>
      <c r="C34" s="38"/>
      <c r="D34" s="68"/>
      <c r="E34" s="38"/>
      <c r="F34" s="68"/>
      <c r="G34" s="68"/>
      <c r="H34" s="68"/>
      <c r="I34" s="68"/>
      <c r="J34" s="68"/>
      <c r="K34" s="68"/>
      <c r="L34" s="68"/>
      <c r="M34" s="59"/>
      <c r="N34" s="56"/>
      <c r="O34" s="60"/>
      <c r="P34" s="58"/>
      <c r="Q34" s="58"/>
      <c r="R34" s="58"/>
      <c r="S34" s="58"/>
      <c r="T34" s="64"/>
      <c r="U34" s="41"/>
    </row>
    <row r="35" spans="1:21" s="12" customFormat="1">
      <c r="A35" s="104">
        <f t="shared" si="1"/>
        <v>32</v>
      </c>
      <c r="B35" s="61"/>
      <c r="C35" s="38"/>
      <c r="D35" s="68"/>
      <c r="E35" s="38"/>
      <c r="F35" s="68"/>
      <c r="G35" s="68"/>
      <c r="H35" s="68"/>
      <c r="I35" s="68"/>
      <c r="J35" s="68"/>
      <c r="K35" s="68"/>
      <c r="L35" s="68"/>
      <c r="M35" s="59"/>
      <c r="N35" s="56"/>
      <c r="O35" s="60"/>
      <c r="P35" s="58"/>
      <c r="Q35" s="58"/>
      <c r="R35" s="58"/>
      <c r="S35" s="58"/>
      <c r="T35" s="64"/>
      <c r="U35" s="41"/>
    </row>
    <row r="36" spans="1:21" s="12" customFormat="1">
      <c r="A36" s="104">
        <f t="shared" si="1"/>
        <v>33</v>
      </c>
      <c r="B36" s="61"/>
      <c r="C36" s="38"/>
      <c r="D36" s="68"/>
      <c r="E36" s="38"/>
      <c r="F36" s="38"/>
      <c r="G36" s="38"/>
      <c r="H36" s="38"/>
      <c r="I36" s="38"/>
      <c r="J36" s="38"/>
      <c r="K36" s="38"/>
      <c r="L36" s="38"/>
      <c r="M36" s="65"/>
      <c r="N36" s="56"/>
      <c r="O36" s="66"/>
      <c r="P36" s="67"/>
      <c r="Q36" s="67"/>
      <c r="R36" s="67"/>
      <c r="S36" s="67"/>
      <c r="T36" s="64"/>
      <c r="U36" s="41"/>
    </row>
    <row r="37" spans="1:21" s="12" customFormat="1">
      <c r="A37" s="104">
        <f t="shared" si="1"/>
        <v>34</v>
      </c>
      <c r="B37" s="61"/>
      <c r="C37" s="55"/>
      <c r="D37" s="62"/>
      <c r="E37" s="38"/>
      <c r="F37" s="38"/>
      <c r="G37" s="38"/>
      <c r="H37" s="38"/>
      <c r="I37" s="38"/>
      <c r="J37" s="38"/>
      <c r="K37" s="62"/>
      <c r="L37" s="62"/>
      <c r="M37" s="65"/>
      <c r="N37" s="56"/>
      <c r="O37" s="66"/>
      <c r="P37" s="67"/>
      <c r="Q37" s="67"/>
      <c r="R37" s="67"/>
      <c r="S37" s="67"/>
      <c r="T37" s="64"/>
      <c r="U37" s="41"/>
    </row>
    <row r="38" spans="1:21" s="12" customFormat="1">
      <c r="A38" s="104">
        <f t="shared" si="1"/>
        <v>35</v>
      </c>
      <c r="B38" s="61"/>
      <c r="C38" s="38"/>
      <c r="D38" s="68"/>
      <c r="E38" s="38"/>
      <c r="F38" s="54"/>
      <c r="G38" s="54"/>
      <c r="H38" s="54"/>
      <c r="I38" s="54"/>
      <c r="J38" s="54"/>
      <c r="K38" s="38"/>
      <c r="L38" s="38"/>
      <c r="M38" s="65"/>
      <c r="N38" s="56"/>
      <c r="O38" s="66"/>
      <c r="P38" s="67"/>
      <c r="Q38" s="67"/>
      <c r="R38" s="67"/>
      <c r="S38" s="67"/>
      <c r="T38" s="64"/>
      <c r="U38" s="41"/>
    </row>
    <row r="39" spans="1:21" s="12" customFormat="1">
      <c r="A39" s="104">
        <f t="shared" si="1"/>
        <v>36</v>
      </c>
      <c r="B39" s="61"/>
      <c r="C39" s="57"/>
      <c r="D39" s="62"/>
      <c r="E39" s="38"/>
      <c r="F39" s="38"/>
      <c r="G39" s="38"/>
      <c r="H39" s="38"/>
      <c r="I39" s="38"/>
      <c r="J39" s="38"/>
      <c r="K39" s="38"/>
      <c r="L39" s="38"/>
      <c r="M39" s="65"/>
      <c r="N39" s="56"/>
      <c r="O39" s="66"/>
      <c r="P39" s="67"/>
      <c r="Q39" s="67"/>
      <c r="R39" s="67"/>
      <c r="S39" s="67"/>
      <c r="T39" s="64"/>
      <c r="U39" s="41"/>
    </row>
    <row r="40" spans="1:21" s="12" customFormat="1">
      <c r="A40" s="104">
        <f t="shared" si="1"/>
        <v>37</v>
      </c>
      <c r="B40" s="61"/>
      <c r="C40" s="55"/>
      <c r="D40" s="62"/>
      <c r="E40" s="63"/>
      <c r="F40" s="38"/>
      <c r="G40" s="38"/>
      <c r="H40" s="38"/>
      <c r="I40" s="38"/>
      <c r="J40" s="38"/>
      <c r="K40" s="38"/>
      <c r="L40" s="38"/>
      <c r="M40" s="65"/>
      <c r="N40" s="56"/>
      <c r="O40" s="66"/>
      <c r="P40" s="67"/>
      <c r="Q40" s="67"/>
      <c r="R40" s="67"/>
      <c r="S40" s="67"/>
      <c r="T40" s="64"/>
      <c r="U40" s="41"/>
    </row>
    <row r="41" spans="1:21" s="12" customFormat="1" ht="11">
      <c r="A41" s="42"/>
      <c r="B41" s="43"/>
      <c r="C41" s="44"/>
      <c r="D41" s="45"/>
      <c r="E41" s="46"/>
      <c r="F41" s="47"/>
      <c r="G41" s="47"/>
      <c r="H41" s="47"/>
      <c r="I41" s="47"/>
      <c r="J41" s="47"/>
      <c r="K41" s="48"/>
      <c r="L41" s="48"/>
      <c r="M41" s="49"/>
      <c r="N41" s="50"/>
      <c r="O41" s="51"/>
      <c r="P41" s="52"/>
      <c r="Q41" s="52"/>
      <c r="R41" s="52"/>
      <c r="S41" s="52"/>
      <c r="T41" s="53"/>
      <c r="U41" s="11"/>
    </row>
    <row r="42" spans="1:21" s="12" customFormat="1" ht="11">
      <c r="A42" s="4"/>
      <c r="B42" s="19"/>
      <c r="C42" s="13"/>
      <c r="D42" s="20"/>
      <c r="E42" s="21"/>
      <c r="F42" s="22"/>
      <c r="G42" s="22"/>
      <c r="H42" s="22"/>
      <c r="I42" s="22"/>
      <c r="J42" s="22"/>
      <c r="K42" s="22"/>
      <c r="L42" s="22"/>
      <c r="M42" s="14"/>
      <c r="N42" s="8"/>
      <c r="O42" s="15"/>
      <c r="P42" s="9"/>
      <c r="Q42" s="9"/>
      <c r="R42" s="9"/>
      <c r="S42" s="9"/>
      <c r="T42" s="23"/>
      <c r="U42" s="11"/>
    </row>
    <row r="43" spans="1:21" s="12" customFormat="1" ht="11">
      <c r="A43" s="4"/>
      <c r="B43" s="19"/>
      <c r="C43" s="22"/>
      <c r="D43" s="26"/>
      <c r="E43" s="22"/>
      <c r="F43" s="22"/>
      <c r="G43" s="22"/>
      <c r="H43" s="22"/>
      <c r="I43" s="22"/>
      <c r="J43" s="22"/>
      <c r="K43" s="26"/>
      <c r="L43" s="26"/>
      <c r="M43" s="14"/>
      <c r="N43" s="8"/>
      <c r="O43" s="15"/>
      <c r="P43" s="9"/>
      <c r="Q43" s="9"/>
      <c r="R43" s="9"/>
      <c r="S43" s="9"/>
      <c r="T43" s="23"/>
      <c r="U43" s="11"/>
    </row>
    <row r="44" spans="1:21" s="12" customFormat="1" ht="11">
      <c r="A44" s="4"/>
      <c r="B44" s="19"/>
      <c r="C44" s="27"/>
      <c r="D44" s="6"/>
      <c r="E44" s="7"/>
      <c r="F44" s="26"/>
      <c r="G44" s="28"/>
      <c r="H44" s="28"/>
      <c r="I44" s="28"/>
      <c r="J44" s="28"/>
      <c r="K44" s="22"/>
      <c r="L44" s="22"/>
      <c r="M44" s="14"/>
      <c r="N44" s="8"/>
      <c r="O44" s="15"/>
      <c r="P44" s="29"/>
      <c r="Q44" s="29"/>
      <c r="R44" s="29"/>
      <c r="S44" s="29"/>
      <c r="T44" s="23"/>
      <c r="U44" s="11"/>
    </row>
    <row r="45" spans="1:21" s="12" customFormat="1" ht="11">
      <c r="A45" s="4"/>
      <c r="B45" s="19"/>
      <c r="C45" s="22"/>
      <c r="D45" s="26"/>
      <c r="E45" s="22"/>
      <c r="F45" s="22"/>
      <c r="G45" s="22"/>
      <c r="H45" s="22"/>
      <c r="I45" s="22"/>
      <c r="J45" s="22"/>
      <c r="K45" s="26"/>
      <c r="L45" s="26"/>
      <c r="M45" s="30"/>
      <c r="N45" s="8"/>
      <c r="O45" s="15"/>
      <c r="P45" s="9"/>
      <c r="Q45" s="9"/>
      <c r="R45" s="9"/>
      <c r="S45" s="9"/>
      <c r="T45" s="23"/>
      <c r="U45" s="11"/>
    </row>
    <row r="46" spans="1:21" s="12" customFormat="1" ht="11">
      <c r="A46" s="4"/>
      <c r="B46" s="19"/>
      <c r="C46" s="22"/>
      <c r="D46" s="26"/>
      <c r="E46" s="22"/>
      <c r="F46" s="22"/>
      <c r="G46" s="22"/>
      <c r="H46" s="22"/>
      <c r="I46" s="22"/>
      <c r="J46" s="22"/>
      <c r="K46" s="26"/>
      <c r="L46" s="26"/>
      <c r="M46" s="14"/>
      <c r="N46" s="8"/>
      <c r="O46" s="15"/>
      <c r="P46" s="9"/>
      <c r="Q46" s="9"/>
      <c r="R46" s="9"/>
      <c r="S46" s="9"/>
      <c r="T46" s="23"/>
      <c r="U46" s="11"/>
    </row>
    <row r="47" spans="1:21" s="12" customFormat="1" ht="11">
      <c r="A47" s="4"/>
      <c r="B47" s="19"/>
      <c r="C47" s="22"/>
      <c r="D47" s="26"/>
      <c r="E47" s="22"/>
      <c r="F47" s="22"/>
      <c r="G47" s="22"/>
      <c r="H47" s="22"/>
      <c r="I47" s="22"/>
      <c r="J47" s="22"/>
      <c r="K47" s="26"/>
      <c r="L47" s="26"/>
      <c r="M47" s="14"/>
      <c r="N47" s="8"/>
      <c r="O47" s="15"/>
      <c r="P47" s="9"/>
      <c r="Q47" s="9"/>
      <c r="R47" s="9"/>
      <c r="S47" s="9"/>
      <c r="T47" s="31"/>
      <c r="U47" s="11"/>
    </row>
    <row r="48" spans="1:21" s="12" customFormat="1" ht="11">
      <c r="A48" s="4"/>
      <c r="B48" s="19"/>
      <c r="C48" s="22"/>
      <c r="D48" s="26"/>
      <c r="E48" s="22"/>
      <c r="F48" s="26"/>
      <c r="G48" s="26"/>
      <c r="H48" s="26"/>
      <c r="I48" s="26"/>
      <c r="J48" s="26"/>
      <c r="K48" s="26"/>
      <c r="L48" s="26"/>
      <c r="M48" s="14"/>
      <c r="N48" s="8"/>
      <c r="O48" s="15"/>
      <c r="P48" s="9"/>
      <c r="Q48" s="9"/>
      <c r="R48" s="9"/>
      <c r="S48" s="9"/>
      <c r="T48" s="31"/>
      <c r="U48" s="11"/>
    </row>
    <row r="49" spans="1:21" s="12" customFormat="1" ht="11">
      <c r="A49" s="4"/>
      <c r="B49" s="19"/>
      <c r="C49" s="22"/>
      <c r="D49" s="26"/>
      <c r="E49" s="22"/>
      <c r="F49" s="26"/>
      <c r="G49" s="26"/>
      <c r="H49" s="26"/>
      <c r="I49" s="26"/>
      <c r="J49" s="26"/>
      <c r="K49" s="26"/>
      <c r="L49" s="26"/>
      <c r="M49" s="14"/>
      <c r="N49" s="8"/>
      <c r="O49" s="15"/>
      <c r="P49" s="9"/>
      <c r="Q49" s="9"/>
      <c r="R49" s="9"/>
      <c r="S49" s="9"/>
      <c r="T49" s="31"/>
      <c r="U49" s="11"/>
    </row>
    <row r="50" spans="1:21" s="12" customFormat="1" ht="11">
      <c r="A50" s="4"/>
      <c r="B50" s="19"/>
      <c r="C50" s="13"/>
      <c r="D50" s="20"/>
      <c r="E50" s="22"/>
      <c r="F50" s="22"/>
      <c r="G50" s="22"/>
      <c r="H50" s="22"/>
      <c r="I50" s="22"/>
      <c r="J50" s="22"/>
      <c r="K50" s="22"/>
      <c r="L50" s="22"/>
      <c r="M50" s="14"/>
      <c r="N50" s="8"/>
      <c r="O50" s="15"/>
      <c r="P50" s="9"/>
      <c r="Q50" s="9"/>
      <c r="R50" s="9"/>
      <c r="S50" s="9"/>
      <c r="T50" s="23"/>
      <c r="U50" s="11"/>
    </row>
    <row r="51" spans="1:21" s="12" customFormat="1" ht="11">
      <c r="A51" s="4"/>
      <c r="B51" s="19"/>
      <c r="C51" s="32"/>
      <c r="D51" s="26"/>
      <c r="E51" s="22"/>
      <c r="F51" s="26"/>
      <c r="G51" s="28"/>
      <c r="H51" s="28"/>
      <c r="I51" s="28"/>
      <c r="J51" s="28"/>
      <c r="K51" s="26"/>
      <c r="L51" s="26"/>
      <c r="M51" s="24"/>
      <c r="N51" s="8"/>
      <c r="O51" s="25"/>
      <c r="P51" s="29"/>
      <c r="Q51" s="29"/>
      <c r="R51" s="29"/>
      <c r="S51" s="29"/>
      <c r="T51" s="23"/>
      <c r="U51" s="11"/>
    </row>
    <row r="52" spans="1:21" s="12" customFormat="1" ht="11">
      <c r="A52" s="4"/>
      <c r="B52" s="19"/>
      <c r="C52" s="32"/>
      <c r="D52" s="26"/>
      <c r="E52" s="22"/>
      <c r="F52" s="28"/>
      <c r="G52" s="28"/>
      <c r="H52" s="28"/>
      <c r="I52" s="28"/>
      <c r="J52" s="28"/>
      <c r="K52" s="26"/>
      <c r="L52" s="26"/>
      <c r="M52" s="24"/>
      <c r="N52" s="8"/>
      <c r="O52" s="25"/>
      <c r="P52" s="29"/>
      <c r="Q52" s="29"/>
      <c r="R52" s="29"/>
      <c r="S52" s="29"/>
      <c r="T52" s="23"/>
      <c r="U52" s="11"/>
    </row>
    <row r="53" spans="1:21" s="12" customFormat="1" ht="11">
      <c r="A53" s="4"/>
      <c r="B53" s="19"/>
      <c r="C53" s="32"/>
      <c r="D53" s="26"/>
      <c r="E53" s="22"/>
      <c r="F53" s="28"/>
      <c r="G53" s="28"/>
      <c r="H53" s="28"/>
      <c r="I53" s="28"/>
      <c r="J53" s="28"/>
      <c r="K53" s="26"/>
      <c r="L53" s="26"/>
      <c r="M53" s="24"/>
      <c r="N53" s="8"/>
      <c r="O53" s="25"/>
      <c r="P53" s="29"/>
      <c r="Q53" s="29"/>
      <c r="R53" s="29"/>
      <c r="S53" s="29"/>
      <c r="T53" s="23"/>
      <c r="U53" s="11"/>
    </row>
    <row r="54" spans="1:21" s="12" customFormat="1" ht="11">
      <c r="A54" s="4"/>
      <c r="B54" s="19"/>
      <c r="C54" s="32"/>
      <c r="D54" s="26"/>
      <c r="E54" s="22"/>
      <c r="F54" s="28"/>
      <c r="G54" s="28"/>
      <c r="H54" s="28"/>
      <c r="I54" s="28"/>
      <c r="J54" s="28"/>
      <c r="K54" s="26"/>
      <c r="L54" s="26"/>
      <c r="M54" s="24"/>
      <c r="N54" s="8"/>
      <c r="O54" s="25"/>
      <c r="P54" s="29"/>
      <c r="Q54" s="29"/>
      <c r="R54" s="29"/>
      <c r="S54" s="29"/>
      <c r="T54" s="23"/>
      <c r="U54" s="11"/>
    </row>
    <row r="55" spans="1:21" s="12" customFormat="1" ht="11">
      <c r="A55" s="4"/>
      <c r="B55" s="19"/>
      <c r="C55" s="32"/>
      <c r="D55" s="26"/>
      <c r="E55" s="22"/>
      <c r="F55" s="28"/>
      <c r="G55" s="28"/>
      <c r="H55" s="28"/>
      <c r="I55" s="28"/>
      <c r="J55" s="28"/>
      <c r="K55" s="26"/>
      <c r="L55" s="26"/>
      <c r="M55" s="24"/>
      <c r="N55" s="8"/>
      <c r="O55" s="25"/>
      <c r="P55" s="29"/>
      <c r="Q55" s="29"/>
      <c r="R55" s="29"/>
      <c r="S55" s="29"/>
      <c r="T55" s="23"/>
      <c r="U55" s="11"/>
    </row>
    <row r="56" spans="1:21" s="12" customFormat="1" ht="11">
      <c r="A56" s="4"/>
      <c r="B56" s="19"/>
      <c r="C56" s="13"/>
      <c r="D56" s="20"/>
      <c r="E56" s="22"/>
      <c r="F56" s="32"/>
      <c r="G56" s="32"/>
      <c r="H56" s="32"/>
      <c r="I56" s="32"/>
      <c r="J56" s="32"/>
      <c r="K56" s="26"/>
      <c r="L56" s="26"/>
      <c r="M56" s="17"/>
      <c r="N56" s="8"/>
      <c r="O56" s="18"/>
      <c r="P56" s="29"/>
      <c r="Q56" s="29"/>
      <c r="R56" s="29"/>
      <c r="S56" s="29"/>
      <c r="T56" s="23"/>
      <c r="U56" s="11"/>
    </row>
    <row r="57" spans="1:21" s="12" customFormat="1" ht="11">
      <c r="A57" s="4"/>
      <c r="B57" s="4"/>
      <c r="C57" s="27"/>
      <c r="D57" s="6"/>
      <c r="E57" s="22"/>
      <c r="F57" s="28"/>
      <c r="G57" s="28"/>
      <c r="H57" s="28"/>
      <c r="I57" s="28"/>
      <c r="J57" s="28"/>
      <c r="K57" s="26"/>
      <c r="L57" s="26"/>
      <c r="M57" s="14"/>
      <c r="N57" s="8"/>
      <c r="O57" s="15"/>
      <c r="P57" s="29"/>
      <c r="Q57" s="29"/>
      <c r="R57" s="29"/>
      <c r="S57" s="29"/>
      <c r="T57" s="10"/>
      <c r="U57" s="11"/>
    </row>
    <row r="58" spans="1:21" s="12" customFormat="1" ht="11">
      <c r="A58" s="4"/>
      <c r="B58" s="4"/>
      <c r="C58" s="7"/>
      <c r="D58" s="6"/>
      <c r="E58" s="7"/>
      <c r="F58" s="26"/>
      <c r="G58" s="28"/>
      <c r="H58" s="28"/>
      <c r="I58" s="28"/>
      <c r="J58" s="28"/>
      <c r="K58" s="26"/>
      <c r="L58" s="26"/>
      <c r="M58" s="14"/>
      <c r="N58" s="8"/>
      <c r="O58" s="15"/>
      <c r="P58" s="29"/>
      <c r="Q58" s="29"/>
      <c r="R58" s="29"/>
      <c r="S58" s="29"/>
      <c r="T58" s="10"/>
      <c r="U58" s="11"/>
    </row>
    <row r="59" spans="1:21" s="12" customFormat="1" ht="11">
      <c r="A59" s="4"/>
      <c r="B59" s="4"/>
      <c r="C59" s="7"/>
      <c r="D59" s="6"/>
      <c r="E59" s="7"/>
      <c r="F59" s="26"/>
      <c r="G59" s="26"/>
      <c r="H59" s="26"/>
      <c r="I59" s="26"/>
      <c r="J59" s="26"/>
      <c r="K59" s="6"/>
      <c r="L59" s="6"/>
      <c r="M59" s="14"/>
      <c r="N59" s="8"/>
      <c r="O59" s="15"/>
      <c r="P59" s="29"/>
      <c r="Q59" s="29"/>
      <c r="R59" s="29"/>
      <c r="S59" s="29"/>
      <c r="T59" s="10"/>
      <c r="U59" s="11"/>
    </row>
    <row r="60" spans="1:21" s="12" customFormat="1" ht="11">
      <c r="A60" s="4"/>
      <c r="B60" s="4"/>
      <c r="C60" s="7"/>
      <c r="D60" s="6"/>
      <c r="E60" s="22"/>
      <c r="F60" s="28"/>
      <c r="G60" s="28"/>
      <c r="H60" s="28"/>
      <c r="I60" s="28"/>
      <c r="J60" s="28"/>
      <c r="K60" s="6"/>
      <c r="L60" s="6"/>
      <c r="M60" s="14"/>
      <c r="N60" s="8"/>
      <c r="O60" s="15"/>
      <c r="P60" s="29"/>
      <c r="Q60" s="29"/>
      <c r="R60" s="29"/>
      <c r="S60" s="29"/>
      <c r="T60" s="10"/>
      <c r="U60" s="11"/>
    </row>
    <row r="61" spans="1:21" s="12" customFormat="1" ht="11">
      <c r="A61" s="4"/>
      <c r="B61" s="4"/>
      <c r="C61" s="27"/>
      <c r="D61" s="6"/>
      <c r="E61" s="7"/>
      <c r="F61" s="28"/>
      <c r="G61" s="28"/>
      <c r="H61" s="28"/>
      <c r="I61" s="28"/>
      <c r="J61" s="28"/>
      <c r="K61" s="22"/>
      <c r="L61" s="22"/>
      <c r="M61" s="14"/>
      <c r="N61" s="8"/>
      <c r="O61" s="15"/>
      <c r="P61" s="29"/>
      <c r="Q61" s="29"/>
      <c r="R61" s="29"/>
      <c r="S61" s="29"/>
      <c r="T61" s="10"/>
      <c r="U61" s="11"/>
    </row>
    <row r="62" spans="1:21" s="12" customFormat="1" ht="11">
      <c r="A62" s="4"/>
      <c r="B62" s="4"/>
      <c r="C62" s="7"/>
      <c r="D62" s="6"/>
      <c r="E62" s="7"/>
      <c r="F62" s="28"/>
      <c r="G62" s="28"/>
      <c r="H62" s="28"/>
      <c r="I62" s="28"/>
      <c r="J62" s="28"/>
      <c r="K62" s="6"/>
      <c r="L62" s="6"/>
      <c r="M62" s="14"/>
      <c r="N62" s="8"/>
      <c r="O62" s="15"/>
      <c r="P62" s="29"/>
      <c r="Q62" s="29"/>
      <c r="R62" s="29"/>
      <c r="S62" s="29"/>
      <c r="T62" s="10"/>
      <c r="U62" s="11"/>
    </row>
    <row r="63" spans="1:21" s="12" customFormat="1" ht="11">
      <c r="A63" s="4"/>
      <c r="B63" s="4"/>
      <c r="C63" s="7"/>
      <c r="D63" s="6"/>
      <c r="E63" s="7"/>
      <c r="F63" s="28"/>
      <c r="G63" s="28"/>
      <c r="H63" s="28"/>
      <c r="I63" s="28"/>
      <c r="J63" s="28"/>
      <c r="K63" s="22"/>
      <c r="L63" s="22"/>
      <c r="M63" s="14"/>
      <c r="N63" s="8"/>
      <c r="O63" s="15"/>
      <c r="P63" s="29"/>
      <c r="Q63" s="29"/>
      <c r="R63" s="29"/>
      <c r="S63" s="29"/>
      <c r="T63" s="10"/>
      <c r="U63" s="11"/>
    </row>
    <row r="64" spans="1:21" s="12" customFormat="1" ht="11">
      <c r="A64" s="4"/>
      <c r="B64" s="4"/>
      <c r="C64" s="7"/>
      <c r="D64" s="6"/>
      <c r="E64" s="7"/>
      <c r="F64" s="28"/>
      <c r="G64" s="28"/>
      <c r="H64" s="28"/>
      <c r="I64" s="28"/>
      <c r="J64" s="28"/>
      <c r="K64" s="6"/>
      <c r="L64" s="6"/>
      <c r="M64" s="14"/>
      <c r="N64" s="8"/>
      <c r="O64" s="15"/>
      <c r="P64" s="29"/>
      <c r="Q64" s="29"/>
      <c r="R64" s="29"/>
      <c r="S64" s="29"/>
      <c r="T64" s="10"/>
      <c r="U64" s="11"/>
    </row>
    <row r="65" spans="1:21" s="12" customFormat="1" ht="11">
      <c r="A65" s="4"/>
      <c r="B65" s="4"/>
      <c r="C65" s="27"/>
      <c r="D65" s="6"/>
      <c r="E65" s="7"/>
      <c r="F65" s="28"/>
      <c r="G65" s="28"/>
      <c r="H65" s="28"/>
      <c r="I65" s="28"/>
      <c r="J65" s="28"/>
      <c r="K65" s="6"/>
      <c r="L65" s="6"/>
      <c r="M65" s="14"/>
      <c r="N65" s="8"/>
      <c r="O65" s="15"/>
      <c r="P65" s="29"/>
      <c r="Q65" s="29"/>
      <c r="R65" s="29"/>
      <c r="S65" s="29"/>
      <c r="T65" s="16"/>
      <c r="U65" s="11"/>
    </row>
    <row r="66" spans="1:21" s="12" customFormat="1" ht="11">
      <c r="A66" s="4"/>
      <c r="B66" s="4"/>
      <c r="C66" s="27"/>
      <c r="D66" s="6"/>
      <c r="E66" s="7"/>
      <c r="F66" s="28"/>
      <c r="G66" s="28"/>
      <c r="H66" s="28"/>
      <c r="I66" s="28"/>
      <c r="J66" s="28"/>
      <c r="K66" s="6"/>
      <c r="L66" s="6"/>
      <c r="M66" s="14"/>
      <c r="N66" s="8"/>
      <c r="O66" s="15"/>
      <c r="P66" s="29"/>
      <c r="Q66" s="29"/>
      <c r="R66" s="29"/>
      <c r="S66" s="29"/>
      <c r="T66" s="10"/>
      <c r="U66" s="11"/>
    </row>
    <row r="67" spans="1:21" s="12" customFormat="1" ht="11">
      <c r="A67" s="4"/>
      <c r="B67" s="4"/>
      <c r="C67" s="33"/>
      <c r="D67" s="5"/>
      <c r="E67" s="5"/>
      <c r="F67" s="5"/>
      <c r="G67" s="5"/>
      <c r="H67" s="5"/>
      <c r="I67" s="5"/>
      <c r="J67" s="5"/>
      <c r="K67" s="5"/>
      <c r="L67" s="5"/>
      <c r="M67" s="33"/>
      <c r="N67" s="8"/>
      <c r="O67" s="9"/>
      <c r="P67" s="29"/>
      <c r="Q67" s="29"/>
      <c r="R67" s="29"/>
      <c r="S67" s="29"/>
      <c r="T67" s="10"/>
      <c r="U67" s="11"/>
    </row>
    <row r="68" spans="1:21" s="12" customFormat="1" ht="11">
      <c r="A68" s="4"/>
      <c r="B68" s="4"/>
      <c r="C68" s="34"/>
      <c r="D68" s="35"/>
      <c r="E68" s="35"/>
      <c r="F68" s="35"/>
      <c r="G68" s="35"/>
      <c r="H68" s="35"/>
      <c r="I68" s="35"/>
      <c r="J68" s="35"/>
      <c r="K68" s="35"/>
      <c r="L68" s="35"/>
      <c r="M68" s="34"/>
      <c r="N68" s="36"/>
      <c r="O68" s="9"/>
      <c r="P68" s="29"/>
      <c r="Q68" s="29"/>
      <c r="R68" s="29"/>
      <c r="S68" s="29"/>
      <c r="T68" s="10"/>
      <c r="U68" s="11"/>
    </row>
    <row r="69" spans="1:21" s="12" customFormat="1" ht="11">
      <c r="A69" s="4"/>
      <c r="B69" s="4"/>
      <c r="C69" s="34"/>
      <c r="D69" s="35"/>
      <c r="E69" s="35"/>
      <c r="F69" s="35"/>
      <c r="G69" s="35"/>
      <c r="H69" s="35"/>
      <c r="I69" s="35"/>
      <c r="J69" s="35"/>
      <c r="K69" s="35"/>
      <c r="L69" s="35"/>
      <c r="M69" s="34"/>
      <c r="N69" s="36"/>
      <c r="O69" s="9"/>
      <c r="P69" s="29"/>
      <c r="Q69" s="29"/>
      <c r="R69" s="29"/>
      <c r="S69" s="29"/>
      <c r="T69" s="10"/>
      <c r="U69" s="11"/>
    </row>
    <row r="70" spans="1:21" s="12" customFormat="1" ht="11">
      <c r="A70" s="4"/>
      <c r="B70" s="4"/>
      <c r="C70" s="33"/>
      <c r="D70" s="5"/>
      <c r="E70" s="5"/>
      <c r="F70" s="5"/>
      <c r="G70" s="5"/>
      <c r="H70" s="5"/>
      <c r="I70" s="5"/>
      <c r="J70" s="5"/>
      <c r="K70" s="5"/>
      <c r="L70" s="5"/>
      <c r="M70" s="33"/>
      <c r="N70" s="9"/>
      <c r="O70" s="9"/>
      <c r="P70" s="29"/>
      <c r="Q70" s="29"/>
      <c r="R70" s="29"/>
      <c r="S70" s="29"/>
      <c r="T70" s="10"/>
      <c r="U70" s="11"/>
    </row>
    <row r="71" spans="1:21" s="12" customFormat="1" ht="11">
      <c r="A71" s="4"/>
      <c r="B71" s="4"/>
      <c r="C71" s="33"/>
      <c r="D71" s="5"/>
      <c r="E71" s="5"/>
      <c r="F71" s="5"/>
      <c r="G71" s="5"/>
      <c r="H71" s="5"/>
      <c r="I71" s="5"/>
      <c r="J71" s="5"/>
      <c r="K71" s="5"/>
      <c r="L71" s="5"/>
      <c r="M71" s="33"/>
      <c r="N71" s="9"/>
      <c r="O71" s="9"/>
      <c r="P71" s="29"/>
      <c r="Q71" s="29"/>
      <c r="R71" s="29"/>
      <c r="S71" s="29"/>
      <c r="T71" s="10"/>
      <c r="U71" s="11"/>
    </row>
    <row r="72" spans="1:21" s="12" customFormat="1" ht="11">
      <c r="A72" s="4"/>
      <c r="B72" s="4"/>
      <c r="C72" s="33"/>
      <c r="D72" s="5"/>
      <c r="E72" s="5"/>
      <c r="F72" s="5"/>
      <c r="G72" s="5"/>
      <c r="H72" s="5"/>
      <c r="I72" s="5"/>
      <c r="J72" s="5"/>
      <c r="K72" s="5"/>
      <c r="L72" s="5"/>
      <c r="M72" s="33"/>
      <c r="N72" s="9"/>
      <c r="O72" s="9"/>
      <c r="P72" s="9"/>
      <c r="Q72" s="9"/>
      <c r="R72" s="9"/>
      <c r="S72" s="9"/>
      <c r="T72" s="10"/>
      <c r="U72" s="11"/>
    </row>
    <row r="73" spans="1:21" s="12" customFormat="1" ht="1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37"/>
      <c r="O73" s="11"/>
      <c r="P73" s="11"/>
      <c r="Q73" s="11"/>
      <c r="R73" s="11"/>
      <c r="S73" s="11"/>
      <c r="T73" s="11"/>
      <c r="U73" s="11"/>
    </row>
    <row r="74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</sheetData>
  <mergeCells count="9">
    <mergeCell ref="A1:T1"/>
    <mergeCell ref="B2:D2"/>
    <mergeCell ref="M2:R2"/>
    <mergeCell ref="E2:G2"/>
    <mergeCell ref="K2:L2"/>
    <mergeCell ref="S2:S3"/>
    <mergeCell ref="T2:T3"/>
    <mergeCell ref="A2:A3"/>
    <mergeCell ref="H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00D8-1A5A-1D46-8306-C9F0C1CB2F76}">
  <dimension ref="A1:F34"/>
  <sheetViews>
    <sheetView zoomScale="160" workbookViewId="0">
      <selection activeCell="B31" sqref="B31"/>
    </sheetView>
  </sheetViews>
  <sheetFormatPr baseColWidth="10" defaultRowHeight="15"/>
  <cols>
    <col min="1" max="1" width="52.6640625" style="72" bestFit="1" customWidth="1"/>
    <col min="2" max="2" width="89.6640625" bestFit="1" customWidth="1"/>
    <col min="3" max="3" width="84" bestFit="1" customWidth="1"/>
    <col min="4" max="4" width="87" bestFit="1" customWidth="1"/>
    <col min="5" max="5" width="82.33203125" bestFit="1" customWidth="1"/>
    <col min="6" max="6" width="93.1640625" bestFit="1" customWidth="1"/>
  </cols>
  <sheetData>
    <row r="1" spans="1:6" s="70" customFormat="1">
      <c r="A1" s="83" t="s">
        <v>27</v>
      </c>
      <c r="B1" s="84" t="s">
        <v>28</v>
      </c>
      <c r="C1" s="84" t="s">
        <v>29</v>
      </c>
      <c r="D1" s="84" t="s">
        <v>30</v>
      </c>
      <c r="E1" s="84" t="s">
        <v>31</v>
      </c>
      <c r="F1" s="84" t="s">
        <v>32</v>
      </c>
    </row>
    <row r="2" spans="1:6">
      <c r="A2" s="85" t="s">
        <v>1</v>
      </c>
      <c r="B2" s="86" t="s">
        <v>33</v>
      </c>
      <c r="C2" s="86" t="s">
        <v>34</v>
      </c>
      <c r="D2" s="86" t="s">
        <v>35</v>
      </c>
      <c r="E2" s="86" t="s">
        <v>36</v>
      </c>
      <c r="F2" s="86" t="s">
        <v>37</v>
      </c>
    </row>
    <row r="3" spans="1:6">
      <c r="A3" s="85" t="s">
        <v>38</v>
      </c>
      <c r="B3" s="86" t="s">
        <v>39</v>
      </c>
      <c r="C3" s="86" t="s">
        <v>40</v>
      </c>
      <c r="D3" s="86" t="s">
        <v>41</v>
      </c>
      <c r="E3" s="86" t="s">
        <v>42</v>
      </c>
      <c r="F3" s="86" t="s">
        <v>43</v>
      </c>
    </row>
    <row r="4" spans="1:6">
      <c r="A4" s="85" t="s">
        <v>44</v>
      </c>
      <c r="B4" s="86" t="s">
        <v>45</v>
      </c>
      <c r="C4" s="86" t="s">
        <v>46</v>
      </c>
      <c r="D4" s="86" t="s">
        <v>47</v>
      </c>
      <c r="E4" s="86" t="s">
        <v>48</v>
      </c>
      <c r="F4" s="86" t="s">
        <v>49</v>
      </c>
    </row>
    <row r="5" spans="1:6">
      <c r="A5" s="85" t="s">
        <v>50</v>
      </c>
      <c r="B5" s="86" t="s">
        <v>51</v>
      </c>
      <c r="C5" s="86" t="s">
        <v>52</v>
      </c>
      <c r="D5" s="86" t="s">
        <v>53</v>
      </c>
      <c r="E5" s="86" t="s">
        <v>54</v>
      </c>
      <c r="F5" s="86" t="s">
        <v>55</v>
      </c>
    </row>
    <row r="6" spans="1:6">
      <c r="A6" s="85" t="s">
        <v>56</v>
      </c>
      <c r="B6" s="86" t="s">
        <v>57</v>
      </c>
      <c r="C6" s="86" t="s">
        <v>58</v>
      </c>
      <c r="D6" s="86" t="s">
        <v>59</v>
      </c>
      <c r="E6" s="86" t="s">
        <v>60</v>
      </c>
      <c r="F6" s="86" t="s">
        <v>61</v>
      </c>
    </row>
    <row r="7" spans="1:6">
      <c r="A7" s="85" t="s">
        <v>62</v>
      </c>
      <c r="B7" s="86" t="s">
        <v>63</v>
      </c>
      <c r="C7" s="86" t="s">
        <v>64</v>
      </c>
      <c r="D7" s="86" t="s">
        <v>65</v>
      </c>
      <c r="E7" s="86" t="s">
        <v>66</v>
      </c>
      <c r="F7" s="86" t="s">
        <v>67</v>
      </c>
    </row>
    <row r="8" spans="1:6">
      <c r="A8" s="85" t="s">
        <v>68</v>
      </c>
      <c r="B8" s="86" t="s">
        <v>69</v>
      </c>
      <c r="C8" s="86" t="s">
        <v>70</v>
      </c>
      <c r="D8" s="86" t="s">
        <v>71</v>
      </c>
      <c r="E8" s="86" t="s">
        <v>72</v>
      </c>
      <c r="F8" s="86" t="s">
        <v>73</v>
      </c>
    </row>
    <row r="9" spans="1:6">
      <c r="A9" s="85" t="s">
        <v>74</v>
      </c>
      <c r="B9" s="86" t="s">
        <v>75</v>
      </c>
      <c r="C9" s="86" t="s">
        <v>76</v>
      </c>
      <c r="D9" s="86" t="s">
        <v>77</v>
      </c>
      <c r="E9" s="86" t="s">
        <v>78</v>
      </c>
      <c r="F9" s="86" t="s">
        <v>79</v>
      </c>
    </row>
    <row r="10" spans="1:6">
      <c r="A10" s="85" t="s">
        <v>80</v>
      </c>
      <c r="B10" s="86" t="s">
        <v>81</v>
      </c>
      <c r="C10" s="86" t="s">
        <v>82</v>
      </c>
      <c r="D10" s="86" t="s">
        <v>83</v>
      </c>
      <c r="E10" s="86" t="s">
        <v>84</v>
      </c>
      <c r="F10" s="86" t="s">
        <v>85</v>
      </c>
    </row>
    <row r="11" spans="1:6">
      <c r="A11" s="85" t="s">
        <v>86</v>
      </c>
      <c r="B11" s="86" t="s">
        <v>87</v>
      </c>
      <c r="C11" s="86" t="s">
        <v>88</v>
      </c>
      <c r="D11" s="86" t="s">
        <v>89</v>
      </c>
      <c r="E11" s="86" t="s">
        <v>90</v>
      </c>
      <c r="F11" s="86" t="s">
        <v>91</v>
      </c>
    </row>
    <row r="12" spans="1:6">
      <c r="A12" s="85" t="s">
        <v>92</v>
      </c>
      <c r="B12" s="86" t="s">
        <v>93</v>
      </c>
      <c r="C12" s="86" t="s">
        <v>94</v>
      </c>
      <c r="D12" s="86" t="s">
        <v>95</v>
      </c>
      <c r="E12" s="86" t="s">
        <v>96</v>
      </c>
      <c r="F12" s="86" t="s">
        <v>97</v>
      </c>
    </row>
    <row r="13" spans="1:6">
      <c r="A13" s="85" t="s">
        <v>98</v>
      </c>
      <c r="B13" s="86" t="s">
        <v>99</v>
      </c>
      <c r="C13" s="86" t="s">
        <v>100</v>
      </c>
      <c r="D13" s="86" t="s">
        <v>101</v>
      </c>
      <c r="E13" s="86" t="s">
        <v>102</v>
      </c>
      <c r="F13" s="86" t="s">
        <v>103</v>
      </c>
    </row>
    <row r="14" spans="1:6">
      <c r="A14" s="85" t="s">
        <v>104</v>
      </c>
      <c r="B14" s="86" t="s">
        <v>105</v>
      </c>
      <c r="C14" s="86" t="s">
        <v>106</v>
      </c>
      <c r="D14" s="86" t="s">
        <v>107</v>
      </c>
      <c r="E14" s="86" t="s">
        <v>108</v>
      </c>
      <c r="F14" s="86" t="s">
        <v>109</v>
      </c>
    </row>
    <row r="15" spans="1:6">
      <c r="A15" s="85" t="s">
        <v>110</v>
      </c>
      <c r="B15" s="86" t="s">
        <v>111</v>
      </c>
      <c r="C15" s="86" t="s">
        <v>112</v>
      </c>
      <c r="D15" s="86" t="s">
        <v>113</v>
      </c>
      <c r="E15" s="86" t="s">
        <v>114</v>
      </c>
      <c r="F15" s="86" t="s">
        <v>115</v>
      </c>
    </row>
    <row r="16" spans="1:6">
      <c r="A16" s="85" t="s">
        <v>116</v>
      </c>
      <c r="B16" s="86" t="s">
        <v>117</v>
      </c>
      <c r="C16" s="86" t="s">
        <v>118</v>
      </c>
      <c r="D16" s="86" t="s">
        <v>119</v>
      </c>
      <c r="E16" s="86" t="s">
        <v>120</v>
      </c>
      <c r="F16" s="86" t="s">
        <v>121</v>
      </c>
    </row>
    <row r="17" spans="1:6">
      <c r="A17" s="85" t="s">
        <v>122</v>
      </c>
      <c r="B17" s="86" t="s">
        <v>123</v>
      </c>
      <c r="C17" s="86" t="s">
        <v>124</v>
      </c>
      <c r="D17" s="86" t="s">
        <v>125</v>
      </c>
      <c r="E17" s="86" t="s">
        <v>126</v>
      </c>
      <c r="F17" s="86" t="s">
        <v>127</v>
      </c>
    </row>
    <row r="18" spans="1:6">
      <c r="A18" s="85" t="s">
        <v>16</v>
      </c>
      <c r="B18" s="86" t="s">
        <v>128</v>
      </c>
      <c r="C18" s="86" t="s">
        <v>129</v>
      </c>
      <c r="D18" s="86" t="s">
        <v>130</v>
      </c>
      <c r="E18" s="86" t="s">
        <v>131</v>
      </c>
      <c r="F18" s="86" t="s">
        <v>132</v>
      </c>
    </row>
    <row r="19" spans="1:6">
      <c r="A19" s="85" t="s">
        <v>17</v>
      </c>
      <c r="B19" s="86" t="s">
        <v>133</v>
      </c>
      <c r="C19" s="86" t="s">
        <v>134</v>
      </c>
      <c r="D19" s="86" t="s">
        <v>135</v>
      </c>
      <c r="E19" s="86" t="s">
        <v>136</v>
      </c>
      <c r="F19" s="86" t="s">
        <v>137</v>
      </c>
    </row>
    <row r="20" spans="1:6">
      <c r="A20" s="85" t="s">
        <v>138</v>
      </c>
      <c r="B20" s="86" t="s">
        <v>139</v>
      </c>
      <c r="C20" s="86" t="s">
        <v>140</v>
      </c>
      <c r="D20" s="86" t="s">
        <v>141</v>
      </c>
      <c r="E20" s="86" t="s">
        <v>142</v>
      </c>
      <c r="F20" s="86" t="s">
        <v>143</v>
      </c>
    </row>
    <row r="21" spans="1:6">
      <c r="A21" s="85" t="s">
        <v>2</v>
      </c>
      <c r="B21" s="86" t="s">
        <v>144</v>
      </c>
      <c r="C21" s="86" t="s">
        <v>145</v>
      </c>
      <c r="D21" s="86" t="s">
        <v>146</v>
      </c>
      <c r="E21" s="86" t="s">
        <v>147</v>
      </c>
      <c r="F21" s="86" t="s">
        <v>148</v>
      </c>
    </row>
    <row r="24" spans="1:6" ht="24">
      <c r="A24" s="73"/>
    </row>
    <row r="26" spans="1:6">
      <c r="A26" s="71"/>
      <c r="B26" s="69"/>
      <c r="C26" s="69"/>
      <c r="D26" s="69"/>
      <c r="E26" s="69"/>
      <c r="F26" s="69"/>
    </row>
    <row r="27" spans="1:6">
      <c r="A27" s="71"/>
    </row>
    <row r="28" spans="1:6">
      <c r="A28" s="71"/>
    </row>
    <row r="29" spans="1:6">
      <c r="A29" s="71"/>
    </row>
    <row r="32" spans="1:6" ht="24">
      <c r="A32" s="73"/>
    </row>
    <row r="34" spans="1:5">
      <c r="A34" s="71"/>
      <c r="B34" s="69"/>
      <c r="C34" s="69"/>
      <c r="D34" s="69"/>
      <c r="E34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WHT</vt:lpstr>
      <vt:lpstr>Petunjuk (Guideline)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mytro-admin</dc:creator>
  <cp:lastModifiedBy>Seungryul Lee</cp:lastModifiedBy>
  <dcterms:created xsi:type="dcterms:W3CDTF">2019-08-13T11:29:27Z</dcterms:created>
  <dcterms:modified xsi:type="dcterms:W3CDTF">2026-06-20T11:39:29Z</dcterms:modified>
</cp:coreProperties>
</file>